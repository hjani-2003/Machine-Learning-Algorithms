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U\BKMIBA\2024\Winter\TOD310 Predictive Analytics\python\data\"/>
    </mc:Choice>
  </mc:AlternateContent>
  <xr:revisionPtr revIDLastSave="0" documentId="13_ncr:40009_{AD76C040-0215-4ED0-8E5C-322CD83E03F6}" xr6:coauthVersionLast="47" xr6:coauthVersionMax="47" xr10:uidLastSave="{00000000-0000-0000-0000-000000000000}"/>
  <bookViews>
    <workbookView xWindow="-108" yWindow="-108" windowWidth="23256" windowHeight="12456"/>
  </bookViews>
  <sheets>
    <sheet name="Iris" sheetId="1" r:id="rId1"/>
  </sheets>
  <calcPr calcId="0"/>
</workbook>
</file>

<file path=xl/calcChain.xml><?xml version="1.0" encoding="utf-8"?>
<calcChain xmlns="http://schemas.openxmlformats.org/spreadsheetml/2006/main">
  <c r="X2" i="1" l="1"/>
  <c r="K25" i="1"/>
  <c r="L25" i="1"/>
  <c r="M25" i="1"/>
  <c r="K26" i="1"/>
  <c r="L26" i="1"/>
  <c r="M26" i="1"/>
  <c r="L24" i="1"/>
  <c r="M24" i="1"/>
  <c r="K24" i="1"/>
  <c r="X3" i="1"/>
  <c r="Y3" i="1"/>
  <c r="Z3" i="1"/>
  <c r="X4" i="1"/>
  <c r="Y4" i="1"/>
  <c r="Z4" i="1"/>
  <c r="X5" i="1"/>
  <c r="Y5" i="1"/>
  <c r="Z5" i="1"/>
  <c r="X6" i="1"/>
  <c r="Y6" i="1"/>
  <c r="Z6" i="1"/>
  <c r="X7" i="1"/>
  <c r="Y7" i="1"/>
  <c r="Z7" i="1"/>
  <c r="X8" i="1"/>
  <c r="Y8" i="1"/>
  <c r="Z8" i="1"/>
  <c r="X9" i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Z35" i="1"/>
  <c r="X36" i="1"/>
  <c r="Y36" i="1"/>
  <c r="Z36" i="1"/>
  <c r="X37" i="1"/>
  <c r="Y37" i="1"/>
  <c r="Z37" i="1"/>
  <c r="X38" i="1"/>
  <c r="Y38" i="1"/>
  <c r="Z38" i="1"/>
  <c r="X39" i="1"/>
  <c r="Y39" i="1"/>
  <c r="Z39" i="1"/>
  <c r="X40" i="1"/>
  <c r="Y40" i="1"/>
  <c r="Z40" i="1"/>
  <c r="X41" i="1"/>
  <c r="Y41" i="1"/>
  <c r="Z41" i="1"/>
  <c r="X42" i="1"/>
  <c r="Y42" i="1"/>
  <c r="Z42" i="1"/>
  <c r="X43" i="1"/>
  <c r="Y43" i="1"/>
  <c r="Z43" i="1"/>
  <c r="X44" i="1"/>
  <c r="Y44" i="1"/>
  <c r="Z44" i="1"/>
  <c r="X45" i="1"/>
  <c r="Y45" i="1"/>
  <c r="Z45" i="1"/>
  <c r="X46" i="1"/>
  <c r="Y46" i="1"/>
  <c r="Z46" i="1"/>
  <c r="X47" i="1"/>
  <c r="Y47" i="1"/>
  <c r="Z47" i="1"/>
  <c r="X48" i="1"/>
  <c r="Y48" i="1"/>
  <c r="Z48" i="1"/>
  <c r="X49" i="1"/>
  <c r="Y49" i="1"/>
  <c r="Z49" i="1"/>
  <c r="X50" i="1"/>
  <c r="Y50" i="1"/>
  <c r="Z50" i="1"/>
  <c r="X51" i="1"/>
  <c r="Y51" i="1"/>
  <c r="Z51" i="1"/>
  <c r="X52" i="1"/>
  <c r="Y52" i="1"/>
  <c r="Z52" i="1"/>
  <c r="X53" i="1"/>
  <c r="Y53" i="1"/>
  <c r="Z53" i="1"/>
  <c r="X54" i="1"/>
  <c r="Y54" i="1"/>
  <c r="Z54" i="1"/>
  <c r="X55" i="1"/>
  <c r="Y55" i="1"/>
  <c r="Z55" i="1"/>
  <c r="X56" i="1"/>
  <c r="Y56" i="1"/>
  <c r="Z56" i="1"/>
  <c r="X57" i="1"/>
  <c r="Y57" i="1"/>
  <c r="Z57" i="1"/>
  <c r="X58" i="1"/>
  <c r="Y58" i="1"/>
  <c r="Z58" i="1"/>
  <c r="X59" i="1"/>
  <c r="Y59" i="1"/>
  <c r="Z59" i="1"/>
  <c r="X60" i="1"/>
  <c r="Y60" i="1"/>
  <c r="Z60" i="1"/>
  <c r="X61" i="1"/>
  <c r="Y61" i="1"/>
  <c r="Z61" i="1"/>
  <c r="X62" i="1"/>
  <c r="Y62" i="1"/>
  <c r="Z62" i="1"/>
  <c r="X63" i="1"/>
  <c r="Y63" i="1"/>
  <c r="Z63" i="1"/>
  <c r="X64" i="1"/>
  <c r="Y64" i="1"/>
  <c r="Z64" i="1"/>
  <c r="X65" i="1"/>
  <c r="Y65" i="1"/>
  <c r="Z65" i="1"/>
  <c r="X66" i="1"/>
  <c r="Y66" i="1"/>
  <c r="Z66" i="1"/>
  <c r="X67" i="1"/>
  <c r="Y67" i="1"/>
  <c r="Z67" i="1"/>
  <c r="X68" i="1"/>
  <c r="Y68" i="1"/>
  <c r="Z68" i="1"/>
  <c r="X69" i="1"/>
  <c r="Y69" i="1"/>
  <c r="Z69" i="1"/>
  <c r="X70" i="1"/>
  <c r="Y70" i="1"/>
  <c r="Z70" i="1"/>
  <c r="X71" i="1"/>
  <c r="Y71" i="1"/>
  <c r="Z71" i="1"/>
  <c r="X72" i="1"/>
  <c r="Y72" i="1"/>
  <c r="Z72" i="1"/>
  <c r="X73" i="1"/>
  <c r="Y73" i="1"/>
  <c r="Z73" i="1"/>
  <c r="X74" i="1"/>
  <c r="Y74" i="1"/>
  <c r="Z74" i="1"/>
  <c r="X75" i="1"/>
  <c r="Y75" i="1"/>
  <c r="Z75" i="1"/>
  <c r="X76" i="1"/>
  <c r="Y76" i="1"/>
  <c r="Z76" i="1"/>
  <c r="X77" i="1"/>
  <c r="Y77" i="1"/>
  <c r="Z77" i="1"/>
  <c r="X78" i="1"/>
  <c r="Y78" i="1"/>
  <c r="Z78" i="1"/>
  <c r="X79" i="1"/>
  <c r="Y79" i="1"/>
  <c r="Z79" i="1"/>
  <c r="X80" i="1"/>
  <c r="Y80" i="1"/>
  <c r="Z80" i="1"/>
  <c r="X81" i="1"/>
  <c r="Y81" i="1"/>
  <c r="Z81" i="1"/>
  <c r="X82" i="1"/>
  <c r="Y82" i="1"/>
  <c r="Z82" i="1"/>
  <c r="X83" i="1"/>
  <c r="Y83" i="1"/>
  <c r="Z83" i="1"/>
  <c r="X84" i="1"/>
  <c r="Y84" i="1"/>
  <c r="Z84" i="1"/>
  <c r="X85" i="1"/>
  <c r="Y85" i="1"/>
  <c r="Z85" i="1"/>
  <c r="X86" i="1"/>
  <c r="Y86" i="1"/>
  <c r="Z86" i="1"/>
  <c r="X87" i="1"/>
  <c r="Y87" i="1"/>
  <c r="Z87" i="1"/>
  <c r="X88" i="1"/>
  <c r="Y88" i="1"/>
  <c r="Z88" i="1"/>
  <c r="X89" i="1"/>
  <c r="Y89" i="1"/>
  <c r="Z89" i="1"/>
  <c r="X90" i="1"/>
  <c r="Y90" i="1"/>
  <c r="Z90" i="1"/>
  <c r="X91" i="1"/>
  <c r="Y91" i="1"/>
  <c r="Z91" i="1"/>
  <c r="X92" i="1"/>
  <c r="Y92" i="1"/>
  <c r="Z92" i="1"/>
  <c r="X93" i="1"/>
  <c r="Y93" i="1"/>
  <c r="Z93" i="1"/>
  <c r="X94" i="1"/>
  <c r="Y94" i="1"/>
  <c r="Z94" i="1"/>
  <c r="X95" i="1"/>
  <c r="Y95" i="1"/>
  <c r="Z95" i="1"/>
  <c r="X96" i="1"/>
  <c r="Y96" i="1"/>
  <c r="Z96" i="1"/>
  <c r="X97" i="1"/>
  <c r="Y97" i="1"/>
  <c r="Z97" i="1"/>
  <c r="X98" i="1"/>
  <c r="Y98" i="1"/>
  <c r="Z98" i="1"/>
  <c r="X99" i="1"/>
  <c r="Y99" i="1"/>
  <c r="Z99" i="1"/>
  <c r="X100" i="1"/>
  <c r="Y100" i="1"/>
  <c r="Z100" i="1"/>
  <c r="X101" i="1"/>
  <c r="Y101" i="1"/>
  <c r="Z101" i="1"/>
  <c r="X102" i="1"/>
  <c r="Y102" i="1"/>
  <c r="Z102" i="1"/>
  <c r="X103" i="1"/>
  <c r="Y103" i="1"/>
  <c r="Z103" i="1"/>
  <c r="X104" i="1"/>
  <c r="Y104" i="1"/>
  <c r="Z104" i="1"/>
  <c r="X105" i="1"/>
  <c r="Y105" i="1"/>
  <c r="Z105" i="1"/>
  <c r="X106" i="1"/>
  <c r="Y106" i="1"/>
  <c r="Z106" i="1"/>
  <c r="X107" i="1"/>
  <c r="Y107" i="1"/>
  <c r="Z107" i="1"/>
  <c r="X108" i="1"/>
  <c r="Y108" i="1"/>
  <c r="Z108" i="1"/>
  <c r="X109" i="1"/>
  <c r="Y109" i="1"/>
  <c r="Z109" i="1"/>
  <c r="X110" i="1"/>
  <c r="Y110" i="1"/>
  <c r="Z110" i="1"/>
  <c r="X111" i="1"/>
  <c r="Y111" i="1"/>
  <c r="Z111" i="1"/>
  <c r="X112" i="1"/>
  <c r="Y112" i="1"/>
  <c r="Z112" i="1"/>
  <c r="X113" i="1"/>
  <c r="Y113" i="1"/>
  <c r="Z113" i="1"/>
  <c r="X114" i="1"/>
  <c r="Y114" i="1"/>
  <c r="Z114" i="1"/>
  <c r="X115" i="1"/>
  <c r="Y115" i="1"/>
  <c r="Z115" i="1"/>
  <c r="X116" i="1"/>
  <c r="Y116" i="1"/>
  <c r="Z116" i="1"/>
  <c r="X117" i="1"/>
  <c r="Y117" i="1"/>
  <c r="Z117" i="1"/>
  <c r="X118" i="1"/>
  <c r="Y118" i="1"/>
  <c r="Z118" i="1"/>
  <c r="X119" i="1"/>
  <c r="Y119" i="1"/>
  <c r="Z119" i="1"/>
  <c r="X120" i="1"/>
  <c r="Y120" i="1"/>
  <c r="Z120" i="1"/>
  <c r="X121" i="1"/>
  <c r="Y121" i="1"/>
  <c r="Z121" i="1"/>
  <c r="X122" i="1"/>
  <c r="Y122" i="1"/>
  <c r="Z122" i="1"/>
  <c r="X123" i="1"/>
  <c r="Y123" i="1"/>
  <c r="Z123" i="1"/>
  <c r="X124" i="1"/>
  <c r="Y124" i="1"/>
  <c r="Z124" i="1"/>
  <c r="X125" i="1"/>
  <c r="Y125" i="1"/>
  <c r="Z125" i="1"/>
  <c r="X126" i="1"/>
  <c r="Y126" i="1"/>
  <c r="Z126" i="1"/>
  <c r="X127" i="1"/>
  <c r="Y127" i="1"/>
  <c r="Z127" i="1"/>
  <c r="X128" i="1"/>
  <c r="Y128" i="1"/>
  <c r="Z128" i="1"/>
  <c r="X129" i="1"/>
  <c r="Y129" i="1"/>
  <c r="Z129" i="1"/>
  <c r="X130" i="1"/>
  <c r="Y130" i="1"/>
  <c r="Z130" i="1"/>
  <c r="X131" i="1"/>
  <c r="Y131" i="1"/>
  <c r="Z131" i="1"/>
  <c r="X132" i="1"/>
  <c r="Y132" i="1"/>
  <c r="Z132" i="1"/>
  <c r="X133" i="1"/>
  <c r="Y133" i="1"/>
  <c r="Z133" i="1"/>
  <c r="X134" i="1"/>
  <c r="Y134" i="1"/>
  <c r="Z134" i="1"/>
  <c r="X135" i="1"/>
  <c r="Y135" i="1"/>
  <c r="Z135" i="1"/>
  <c r="X136" i="1"/>
  <c r="Y136" i="1"/>
  <c r="Z136" i="1"/>
  <c r="X137" i="1"/>
  <c r="Y137" i="1"/>
  <c r="Z137" i="1"/>
  <c r="X138" i="1"/>
  <c r="Y138" i="1"/>
  <c r="Z138" i="1"/>
  <c r="X139" i="1"/>
  <c r="Y139" i="1"/>
  <c r="Z139" i="1"/>
  <c r="X140" i="1"/>
  <c r="Y140" i="1"/>
  <c r="Z140" i="1"/>
  <c r="X141" i="1"/>
  <c r="Y141" i="1"/>
  <c r="Z141" i="1"/>
  <c r="X142" i="1"/>
  <c r="Y142" i="1"/>
  <c r="Z142" i="1"/>
  <c r="X143" i="1"/>
  <c r="Y143" i="1"/>
  <c r="Z143" i="1"/>
  <c r="X144" i="1"/>
  <c r="Y144" i="1"/>
  <c r="Z144" i="1"/>
  <c r="X145" i="1"/>
  <c r="Y145" i="1"/>
  <c r="Z145" i="1"/>
  <c r="X146" i="1"/>
  <c r="Y146" i="1"/>
  <c r="Z146" i="1"/>
  <c r="X147" i="1"/>
  <c r="Y147" i="1"/>
  <c r="Z147" i="1"/>
  <c r="X148" i="1"/>
  <c r="Y148" i="1"/>
  <c r="Z148" i="1"/>
  <c r="X149" i="1"/>
  <c r="Y149" i="1"/>
  <c r="Z149" i="1"/>
  <c r="X150" i="1"/>
  <c r="Y150" i="1"/>
  <c r="Z150" i="1"/>
  <c r="X151" i="1"/>
  <c r="Y151" i="1"/>
  <c r="Z151" i="1"/>
  <c r="Y2" i="1"/>
  <c r="Z2" i="1"/>
  <c r="O3" i="1"/>
  <c r="P3" i="1"/>
  <c r="Q3" i="1"/>
  <c r="R3" i="1"/>
  <c r="O4" i="1"/>
  <c r="P4" i="1"/>
  <c r="Q4" i="1"/>
  <c r="R4" i="1"/>
  <c r="P2" i="1"/>
  <c r="Q2" i="1"/>
  <c r="R2" i="1"/>
  <c r="O2" i="1"/>
  <c r="K3" i="1"/>
  <c r="K4" i="1"/>
  <c r="K5" i="1"/>
  <c r="K2" i="1"/>
  <c r="S3" i="1" l="1"/>
  <c r="S2" i="1"/>
  <c r="S4" i="1"/>
  <c r="K7" i="1" l="1"/>
  <c r="K8" i="1" s="1"/>
</calcChain>
</file>

<file path=xl/sharedStrings.xml><?xml version="1.0" encoding="utf-8"?>
<sst xmlns="http://schemas.openxmlformats.org/spreadsheetml/2006/main" count="177" uniqueCount="29">
  <si>
    <t>Id</t>
  </si>
  <si>
    <t>SepalLengthCm</t>
  </si>
  <si>
    <t>SepalWidthCm</t>
  </si>
  <si>
    <t>PetalLengthCm</t>
  </si>
  <si>
    <t>PetalWidthCm</t>
  </si>
  <si>
    <t>SepciesTitle</t>
  </si>
  <si>
    <t>Species</t>
  </si>
  <si>
    <t>Iris-setosa</t>
  </si>
  <si>
    <t>Iris-versicolor</t>
  </si>
  <si>
    <t>Iris-virginica</t>
  </si>
  <si>
    <t>ID</t>
  </si>
  <si>
    <t>SepalLengthCM</t>
  </si>
  <si>
    <t>SepalWidthCM</t>
  </si>
  <si>
    <t>PetalLengthCM</t>
  </si>
  <si>
    <t>PetalWidthCM</t>
  </si>
  <si>
    <t>Clusters</t>
  </si>
  <si>
    <t>SL</t>
  </si>
  <si>
    <t>SW</t>
  </si>
  <si>
    <t>PL</t>
  </si>
  <si>
    <t>PW</t>
  </si>
  <si>
    <t>Power Distance</t>
  </si>
  <si>
    <t>Minimum Dist.</t>
  </si>
  <si>
    <t>Cluster</t>
  </si>
  <si>
    <t>Setosa Actual</t>
  </si>
  <si>
    <t>Versicolor Actual</t>
  </si>
  <si>
    <t>Virginica Actual</t>
  </si>
  <si>
    <t>Setosa Predicted</t>
  </si>
  <si>
    <t>Versicolor Predicted</t>
  </si>
  <si>
    <t>Virginica Predicted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</si>
</sst>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Sepal Width</a:t>
            </a:r>
            <a:r>
              <a:rPr lang="en-IN" baseline="0"/>
              <a:t> and Sepal Length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Cluster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Iris!$C$2:$C$151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Iris!$X$2:$X$151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5.4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5.4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0</c:v>
                </c:pt>
                <c:pt idx="30">
                  <c:v>0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0</c:v>
                </c:pt>
                <c:pt idx="35">
                  <c:v>5</c:v>
                </c:pt>
                <c:pt idx="36">
                  <c:v>5.5</c:v>
                </c:pt>
                <c:pt idx="37">
                  <c:v>0</c:v>
                </c:pt>
                <c:pt idx="38">
                  <c:v>0</c:v>
                </c:pt>
                <c:pt idx="39">
                  <c:v>5.0999999999999996</c:v>
                </c:pt>
                <c:pt idx="40">
                  <c:v>5</c:v>
                </c:pt>
                <c:pt idx="41">
                  <c:v>0</c:v>
                </c:pt>
                <c:pt idx="42">
                  <c:v>0</c:v>
                </c:pt>
                <c:pt idx="43">
                  <c:v>5</c:v>
                </c:pt>
                <c:pt idx="44">
                  <c:v>5.0999999999999996</c:v>
                </c:pt>
                <c:pt idx="45">
                  <c:v>0</c:v>
                </c:pt>
                <c:pt idx="46">
                  <c:v>5.0999999999999996</c:v>
                </c:pt>
                <c:pt idx="47">
                  <c:v>0</c:v>
                </c:pt>
                <c:pt idx="48">
                  <c:v>5.3</c:v>
                </c:pt>
                <c:pt idx="49">
                  <c:v>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9-4D8E-889E-8A86E5484153}"/>
            </c:ext>
          </c:extLst>
        </c:ser>
        <c:ser>
          <c:idx val="1"/>
          <c:order val="1"/>
          <c:tx>
            <c:v>Cluster 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Iris!$C$2:$C$151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Iris!$Y$2:$Y$151</c:f>
              <c:numCache>
                <c:formatCode>General</c:formatCode>
                <c:ptCount val="150"/>
                <c:pt idx="0">
                  <c:v>0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0</c:v>
                </c:pt>
                <c:pt idx="5">
                  <c:v>0</c:v>
                </c:pt>
                <c:pt idx="6">
                  <c:v>4.5999999999999996</c:v>
                </c:pt>
                <c:pt idx="7">
                  <c:v>0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0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4.8</c:v>
                </c:pt>
                <c:pt idx="25">
                  <c:v>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</c:v>
                </c:pt>
                <c:pt idx="30">
                  <c:v>4.8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4.9000000000000004</c:v>
                </c:pt>
                <c:pt idx="35">
                  <c:v>0</c:v>
                </c:pt>
                <c:pt idx="36">
                  <c:v>0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0</c:v>
                </c:pt>
                <c:pt idx="40">
                  <c:v>0</c:v>
                </c:pt>
                <c:pt idx="41">
                  <c:v>4.5</c:v>
                </c:pt>
                <c:pt idx="42">
                  <c:v>4.4000000000000004</c:v>
                </c:pt>
                <c:pt idx="43">
                  <c:v>0</c:v>
                </c:pt>
                <c:pt idx="44">
                  <c:v>0</c:v>
                </c:pt>
                <c:pt idx="45">
                  <c:v>4.8</c:v>
                </c:pt>
                <c:pt idx="46">
                  <c:v>0</c:v>
                </c:pt>
                <c:pt idx="47">
                  <c:v>4.5999999999999996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4.9000000000000004</c:v>
                </c:pt>
                <c:pt idx="58">
                  <c:v>0</c:v>
                </c:pt>
                <c:pt idx="59">
                  <c:v>0</c:v>
                </c:pt>
                <c:pt idx="60">
                  <c:v>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5.0999999999999996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D9-4D8E-889E-8A86E5484153}"/>
            </c:ext>
          </c:extLst>
        </c:ser>
        <c:ser>
          <c:idx val="2"/>
          <c:order val="2"/>
          <c:tx>
            <c:v>Cluster 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Iris!$C$2:$C$151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Iris!$Z$2:$Z$151</c:f>
              <c:numCache>
                <c:formatCode>General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0</c:v>
                </c:pt>
                <c:pt idx="58">
                  <c:v>6.6</c:v>
                </c:pt>
                <c:pt idx="59">
                  <c:v>5.2</c:v>
                </c:pt>
                <c:pt idx="60">
                  <c:v>0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0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0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D9-4D8E-889E-8A86E5484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626895"/>
        <c:axId val="1983623535"/>
      </c:scatterChart>
      <c:valAx>
        <c:axId val="1983626895"/>
        <c:scaling>
          <c:orientation val="minMax"/>
          <c:max val="4.5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623535"/>
        <c:crosses val="autoZero"/>
        <c:crossBetween val="midCat"/>
      </c:valAx>
      <c:valAx>
        <c:axId val="1983623535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626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Petal Length and Sepal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Cluster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Iris!$D$2:$D$151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Iris!$X$2:$X$151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5.4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5.4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0</c:v>
                </c:pt>
                <c:pt idx="30">
                  <c:v>0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0</c:v>
                </c:pt>
                <c:pt idx="35">
                  <c:v>5</c:v>
                </c:pt>
                <c:pt idx="36">
                  <c:v>5.5</c:v>
                </c:pt>
                <c:pt idx="37">
                  <c:v>0</c:v>
                </c:pt>
                <c:pt idx="38">
                  <c:v>0</c:v>
                </c:pt>
                <c:pt idx="39">
                  <c:v>5.0999999999999996</c:v>
                </c:pt>
                <c:pt idx="40">
                  <c:v>5</c:v>
                </c:pt>
                <c:pt idx="41">
                  <c:v>0</c:v>
                </c:pt>
                <c:pt idx="42">
                  <c:v>0</c:v>
                </c:pt>
                <c:pt idx="43">
                  <c:v>5</c:v>
                </c:pt>
                <c:pt idx="44">
                  <c:v>5.0999999999999996</c:v>
                </c:pt>
                <c:pt idx="45">
                  <c:v>0</c:v>
                </c:pt>
                <c:pt idx="46">
                  <c:v>5.0999999999999996</c:v>
                </c:pt>
                <c:pt idx="47">
                  <c:v>0</c:v>
                </c:pt>
                <c:pt idx="48">
                  <c:v>5.3</c:v>
                </c:pt>
                <c:pt idx="49">
                  <c:v>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471A-A4BB-159D23309804}"/>
            </c:ext>
          </c:extLst>
        </c:ser>
        <c:ser>
          <c:idx val="1"/>
          <c:order val="1"/>
          <c:tx>
            <c:v>Cluster 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Iris!$D$2:$D$151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Iris!$Y$2:$Y$151</c:f>
              <c:numCache>
                <c:formatCode>General</c:formatCode>
                <c:ptCount val="150"/>
                <c:pt idx="0">
                  <c:v>0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0</c:v>
                </c:pt>
                <c:pt idx="5">
                  <c:v>0</c:v>
                </c:pt>
                <c:pt idx="6">
                  <c:v>4.5999999999999996</c:v>
                </c:pt>
                <c:pt idx="7">
                  <c:v>0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0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4.8</c:v>
                </c:pt>
                <c:pt idx="25">
                  <c:v>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</c:v>
                </c:pt>
                <c:pt idx="30">
                  <c:v>4.8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4.9000000000000004</c:v>
                </c:pt>
                <c:pt idx="35">
                  <c:v>0</c:v>
                </c:pt>
                <c:pt idx="36">
                  <c:v>0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0</c:v>
                </c:pt>
                <c:pt idx="40">
                  <c:v>0</c:v>
                </c:pt>
                <c:pt idx="41">
                  <c:v>4.5</c:v>
                </c:pt>
                <c:pt idx="42">
                  <c:v>4.4000000000000004</c:v>
                </c:pt>
                <c:pt idx="43">
                  <c:v>0</c:v>
                </c:pt>
                <c:pt idx="44">
                  <c:v>0</c:v>
                </c:pt>
                <c:pt idx="45">
                  <c:v>4.8</c:v>
                </c:pt>
                <c:pt idx="46">
                  <c:v>0</c:v>
                </c:pt>
                <c:pt idx="47">
                  <c:v>4.5999999999999996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4.9000000000000004</c:v>
                </c:pt>
                <c:pt idx="58">
                  <c:v>0</c:v>
                </c:pt>
                <c:pt idx="59">
                  <c:v>0</c:v>
                </c:pt>
                <c:pt idx="60">
                  <c:v>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5.0999999999999996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E3-471A-A4BB-159D23309804}"/>
            </c:ext>
          </c:extLst>
        </c:ser>
        <c:ser>
          <c:idx val="2"/>
          <c:order val="2"/>
          <c:tx>
            <c:v>Cluster 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Iris!$D$2:$D$151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Iris!$Z$2:$Z$151</c:f>
              <c:numCache>
                <c:formatCode>General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0</c:v>
                </c:pt>
                <c:pt idx="58">
                  <c:v>6.6</c:v>
                </c:pt>
                <c:pt idx="59">
                  <c:v>5.2</c:v>
                </c:pt>
                <c:pt idx="60">
                  <c:v>0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0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0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E3-471A-A4BB-159D23309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439951"/>
        <c:axId val="2054440431"/>
      </c:scatterChart>
      <c:valAx>
        <c:axId val="2054439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40431"/>
        <c:crosses val="autoZero"/>
        <c:crossBetween val="midCat"/>
      </c:valAx>
      <c:valAx>
        <c:axId val="2054440431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39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187960</xdr:rowOff>
    </xdr:from>
    <xdr:to>
      <xdr:col>14</xdr:col>
      <xdr:colOff>27305</xdr:colOff>
      <xdr:row>6</xdr:row>
      <xdr:rowOff>111760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7A3E70-03B5-E3D4-6779-C18DD5D5885A}"/>
            </a:ext>
          </a:extLst>
        </xdr:cNvPr>
        <xdr:cNvSpPr/>
      </xdr:nvSpPr>
      <xdr:spPr>
        <a:xfrm>
          <a:off x="7696200" y="960120"/>
          <a:ext cx="1246505" cy="309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Cluster Division</a:t>
          </a:r>
        </a:p>
      </xdr:txBody>
    </xdr:sp>
    <xdr:clientData/>
  </xdr:twoCellAnchor>
  <xdr:twoCellAnchor>
    <xdr:from>
      <xdr:col>8</xdr:col>
      <xdr:colOff>609599</xdr:colOff>
      <xdr:row>8</xdr:row>
      <xdr:rowOff>0</xdr:rowOff>
    </xdr:from>
    <xdr:to>
      <xdr:col>13</xdr:col>
      <xdr:colOff>606424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912879-7C9E-5BCE-EC26-EB42ACA7D5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8</xdr:row>
      <xdr:rowOff>1</xdr:rowOff>
    </xdr:from>
    <xdr:to>
      <xdr:col>19</xdr:col>
      <xdr:colOff>0</xdr:colOff>
      <xdr:row>20</xdr:row>
      <xdr:rowOff>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EA1599-D2FD-7FA1-9016-979D829D9B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51"/>
  <sheetViews>
    <sheetView tabSelected="1" topLeftCell="H9" zoomScale="150" workbookViewId="0">
      <selection activeCell="P6" sqref="P6"/>
    </sheetView>
  </sheetViews>
  <sheetFormatPr defaultRowHeight="15" x14ac:dyDescent="0.25"/>
  <cols>
    <col min="10" max="10" width="19.28515625" bestFit="1" customWidth="1"/>
    <col min="11" max="11" width="12.85546875" bestFit="1" customWidth="1"/>
    <col min="12" max="12" width="16.140625" bestFit="1" customWidth="1"/>
    <col min="13" max="13" width="14.8554687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15</v>
      </c>
      <c r="J1" t="s">
        <v>10</v>
      </c>
      <c r="K1">
        <v>150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X1">
        <v>1</v>
      </c>
      <c r="Y1">
        <v>2</v>
      </c>
      <c r="Z1">
        <v>3</v>
      </c>
    </row>
    <row r="2" spans="1:26" x14ac:dyDescent="0.25">
      <c r="A2">
        <v>1</v>
      </c>
      <c r="B2">
        <v>5.0999999999999996</v>
      </c>
      <c r="C2">
        <v>3.5</v>
      </c>
      <c r="D2">
        <v>1.4</v>
      </c>
      <c r="E2">
        <v>0.2</v>
      </c>
      <c r="F2" t="s">
        <v>7</v>
      </c>
      <c r="G2">
        <v>1</v>
      </c>
      <c r="H2">
        <v>1</v>
      </c>
      <c r="I2">
        <v>2</v>
      </c>
      <c r="J2" t="s">
        <v>11</v>
      </c>
      <c r="K2">
        <f>VLOOKUP($K$1,$A$2:$E$151,I2,FALSE)</f>
        <v>5.9</v>
      </c>
      <c r="N2">
        <v>1</v>
      </c>
      <c r="O2" s="1">
        <f>AVERAGEIF($H$2:$H$151,$N2,B$2:B$151)</f>
        <v>5.2166666666666668</v>
      </c>
      <c r="P2" s="1">
        <f t="shared" ref="P2:R2" si="0">AVERAGEIF($H$2:$H$151,$N2,C$2:C$151)</f>
        <v>3.64</v>
      </c>
      <c r="Q2" s="1">
        <f t="shared" si="0"/>
        <v>1.4733333333333332</v>
      </c>
      <c r="R2" s="1">
        <f t="shared" si="0"/>
        <v>0.27999999999999997</v>
      </c>
      <c r="S2" s="1">
        <f>POWER($K$2-O2,2)+POWER($K$3-P2,2)+POWER($K$4-Q2,2)+POWER($K$5-R2,2)</f>
        <v>16.339655555555556</v>
      </c>
      <c r="X2">
        <f>IF(X$1=$H2,$B2,0)</f>
        <v>5.0999999999999996</v>
      </c>
      <c r="Y2">
        <f t="shared" ref="Y2:Z17" si="1">IF(Y$1=$H2,$B2,0)</f>
        <v>0</v>
      </c>
      <c r="Z2">
        <f t="shared" si="1"/>
        <v>0</v>
      </c>
    </row>
    <row r="3" spans="1:26" x14ac:dyDescent="0.25">
      <c r="A3">
        <v>2</v>
      </c>
      <c r="B3">
        <v>4.9000000000000004</v>
      </c>
      <c r="C3">
        <v>3</v>
      </c>
      <c r="D3">
        <v>1.4</v>
      </c>
      <c r="E3">
        <v>0.2</v>
      </c>
      <c r="F3" t="s">
        <v>7</v>
      </c>
      <c r="G3">
        <v>1</v>
      </c>
      <c r="H3">
        <v>2</v>
      </c>
      <c r="I3">
        <v>3</v>
      </c>
      <c r="J3" t="s">
        <v>12</v>
      </c>
      <c r="K3">
        <f t="shared" ref="K3:K5" si="2">VLOOKUP($K$1,$A$2:$E$151,I3,FALSE)</f>
        <v>3</v>
      </c>
      <c r="N3">
        <v>2</v>
      </c>
      <c r="O3" s="1">
        <f t="shared" ref="O3:O4" si="3">AVERAGEIF($H$2:$H$151,$N3,B$2:B$151)</f>
        <v>4.7416666666666663</v>
      </c>
      <c r="P3" s="1">
        <f t="shared" ref="P3:P4" si="4">AVERAGEIF($H$2:$H$151,$N3,C$2:C$151)</f>
        <v>2.9541666666666671</v>
      </c>
      <c r="Q3" s="1">
        <f t="shared" ref="Q3:Q4" si="5">AVERAGEIF($H$2:$H$151,$N3,D$2:D$151)</f>
        <v>1.7541666666666667</v>
      </c>
      <c r="R3" s="1">
        <f t="shared" ref="R3:R4" si="6">AVERAGEIF($H$2:$H$151,$N3,E$2:E$151)</f>
        <v>0.32916666666666666</v>
      </c>
      <c r="S3" s="1">
        <f t="shared" ref="S3:S4" si="7">POWER($K$2-O3,2)+POWER($K$3-P3,2)+POWER($K$4-Q3,2)+POWER($K$5-R3,2)</f>
        <v>14.701788194444447</v>
      </c>
      <c r="X3">
        <f t="shared" ref="X3:Z34" si="8">IF(X$1=$H3,$B3,0)</f>
        <v>0</v>
      </c>
      <c r="Y3">
        <f t="shared" si="1"/>
        <v>4.9000000000000004</v>
      </c>
      <c r="Z3">
        <f t="shared" si="1"/>
        <v>0</v>
      </c>
    </row>
    <row r="4" spans="1:26" x14ac:dyDescent="0.25">
      <c r="A4">
        <v>3</v>
      </c>
      <c r="B4">
        <v>4.7</v>
      </c>
      <c r="C4">
        <v>3.2</v>
      </c>
      <c r="D4">
        <v>1.3</v>
      </c>
      <c r="E4">
        <v>0.2</v>
      </c>
      <c r="F4" t="s">
        <v>7</v>
      </c>
      <c r="G4">
        <v>1</v>
      </c>
      <c r="H4">
        <v>2</v>
      </c>
      <c r="I4">
        <v>4</v>
      </c>
      <c r="J4" t="s">
        <v>13</v>
      </c>
      <c r="K4">
        <f t="shared" si="2"/>
        <v>5.0999999999999996</v>
      </c>
      <c r="N4">
        <v>3</v>
      </c>
      <c r="O4" s="1">
        <f t="shared" si="3"/>
        <v>6.3145833333333314</v>
      </c>
      <c r="P4" s="1">
        <f t="shared" si="4"/>
        <v>2.8958333333333335</v>
      </c>
      <c r="Q4" s="1">
        <f t="shared" si="5"/>
        <v>4.9739583333333348</v>
      </c>
      <c r="R4" s="1">
        <f t="shared" si="6"/>
        <v>1.7031250000000007</v>
      </c>
      <c r="S4" s="1">
        <f t="shared" si="7"/>
        <v>0.20800130208333084</v>
      </c>
      <c r="X4">
        <f t="shared" si="8"/>
        <v>0</v>
      </c>
      <c r="Y4">
        <f t="shared" si="1"/>
        <v>4.7</v>
      </c>
      <c r="Z4">
        <f t="shared" si="1"/>
        <v>0</v>
      </c>
    </row>
    <row r="5" spans="1:26" x14ac:dyDescent="0.25">
      <c r="A5">
        <v>4</v>
      </c>
      <c r="B5">
        <v>4.5999999999999996</v>
      </c>
      <c r="C5">
        <v>3.1</v>
      </c>
      <c r="D5">
        <v>1.5</v>
      </c>
      <c r="E5">
        <v>0.2</v>
      </c>
      <c r="F5" t="s">
        <v>7</v>
      </c>
      <c r="G5">
        <v>1</v>
      </c>
      <c r="H5">
        <v>2</v>
      </c>
      <c r="I5">
        <v>5</v>
      </c>
      <c r="J5" t="s">
        <v>14</v>
      </c>
      <c r="K5">
        <f t="shared" si="2"/>
        <v>1.8</v>
      </c>
      <c r="X5">
        <f t="shared" si="8"/>
        <v>0</v>
      </c>
      <c r="Y5">
        <f t="shared" si="1"/>
        <v>4.5999999999999996</v>
      </c>
      <c r="Z5">
        <f t="shared" si="1"/>
        <v>0</v>
      </c>
    </row>
    <row r="6" spans="1:26" x14ac:dyDescent="0.25">
      <c r="A6">
        <v>5</v>
      </c>
      <c r="B6">
        <v>5</v>
      </c>
      <c r="C6">
        <v>3.6</v>
      </c>
      <c r="D6">
        <v>1.4</v>
      </c>
      <c r="E6">
        <v>0.2</v>
      </c>
      <c r="F6" t="s">
        <v>7</v>
      </c>
      <c r="G6">
        <v>1</v>
      </c>
      <c r="H6">
        <v>1</v>
      </c>
      <c r="X6">
        <f t="shared" si="8"/>
        <v>5</v>
      </c>
      <c r="Y6">
        <f t="shared" si="1"/>
        <v>0</v>
      </c>
      <c r="Z6">
        <f t="shared" si="1"/>
        <v>0</v>
      </c>
    </row>
    <row r="7" spans="1:26" x14ac:dyDescent="0.25">
      <c r="A7">
        <v>6</v>
      </c>
      <c r="B7">
        <v>5.4</v>
      </c>
      <c r="C7">
        <v>3.9</v>
      </c>
      <c r="D7">
        <v>1.7</v>
      </c>
      <c r="E7">
        <v>0.4</v>
      </c>
      <c r="F7" t="s">
        <v>7</v>
      </c>
      <c r="G7">
        <v>1</v>
      </c>
      <c r="H7">
        <v>1</v>
      </c>
      <c r="J7" t="s">
        <v>21</v>
      </c>
      <c r="K7" s="1">
        <f>MIN(S2:S4)</f>
        <v>0.20800130208333084</v>
      </c>
      <c r="X7">
        <f t="shared" si="8"/>
        <v>5.4</v>
      </c>
      <c r="Y7">
        <f t="shared" si="1"/>
        <v>0</v>
      </c>
      <c r="Z7">
        <f t="shared" si="1"/>
        <v>0</v>
      </c>
    </row>
    <row r="8" spans="1:26" x14ac:dyDescent="0.25">
      <c r="A8">
        <v>7</v>
      </c>
      <c r="B8">
        <v>4.5999999999999996</v>
      </c>
      <c r="C8">
        <v>3.4</v>
      </c>
      <c r="D8">
        <v>1.4</v>
      </c>
      <c r="E8">
        <v>0.3</v>
      </c>
      <c r="F8" t="s">
        <v>7</v>
      </c>
      <c r="G8">
        <v>1</v>
      </c>
      <c r="H8">
        <v>2</v>
      </c>
      <c r="J8" t="s">
        <v>22</v>
      </c>
      <c r="K8">
        <f>MATCH(K7,S2:S4,0)</f>
        <v>3</v>
      </c>
      <c r="X8">
        <f t="shared" si="8"/>
        <v>0</v>
      </c>
      <c r="Y8">
        <f t="shared" si="1"/>
        <v>4.5999999999999996</v>
      </c>
      <c r="Z8">
        <f t="shared" si="1"/>
        <v>0</v>
      </c>
    </row>
    <row r="9" spans="1:26" x14ac:dyDescent="0.25">
      <c r="A9">
        <v>8</v>
      </c>
      <c r="B9">
        <v>5</v>
      </c>
      <c r="C9">
        <v>3.4</v>
      </c>
      <c r="D9">
        <v>1.5</v>
      </c>
      <c r="E9">
        <v>0.2</v>
      </c>
      <c r="F9" t="s">
        <v>7</v>
      </c>
      <c r="G9">
        <v>1</v>
      </c>
      <c r="H9">
        <v>1</v>
      </c>
      <c r="X9">
        <f t="shared" si="8"/>
        <v>5</v>
      </c>
      <c r="Y9">
        <f t="shared" si="1"/>
        <v>0</v>
      </c>
      <c r="Z9">
        <f t="shared" si="1"/>
        <v>0</v>
      </c>
    </row>
    <row r="10" spans="1:26" x14ac:dyDescent="0.25">
      <c r="A10">
        <v>9</v>
      </c>
      <c r="B10">
        <v>4.4000000000000004</v>
      </c>
      <c r="C10">
        <v>2.9</v>
      </c>
      <c r="D10">
        <v>1.4</v>
      </c>
      <c r="E10">
        <v>0.2</v>
      </c>
      <c r="F10" t="s">
        <v>7</v>
      </c>
      <c r="G10">
        <v>1</v>
      </c>
      <c r="H10">
        <v>2</v>
      </c>
      <c r="X10">
        <f t="shared" si="8"/>
        <v>0</v>
      </c>
      <c r="Y10">
        <f t="shared" si="1"/>
        <v>4.4000000000000004</v>
      </c>
      <c r="Z10">
        <f t="shared" si="1"/>
        <v>0</v>
      </c>
    </row>
    <row r="11" spans="1:26" x14ac:dyDescent="0.25">
      <c r="A11">
        <v>10</v>
      </c>
      <c r="B11">
        <v>4.9000000000000004</v>
      </c>
      <c r="C11">
        <v>3.1</v>
      </c>
      <c r="D11">
        <v>1.5</v>
      </c>
      <c r="E11">
        <v>0.1</v>
      </c>
      <c r="F11" t="s">
        <v>7</v>
      </c>
      <c r="G11">
        <v>1</v>
      </c>
      <c r="H11">
        <v>2</v>
      </c>
      <c r="X11">
        <f t="shared" si="8"/>
        <v>0</v>
      </c>
      <c r="Y11">
        <f t="shared" si="1"/>
        <v>4.9000000000000004</v>
      </c>
      <c r="Z11">
        <f t="shared" si="1"/>
        <v>0</v>
      </c>
    </row>
    <row r="12" spans="1:26" x14ac:dyDescent="0.25">
      <c r="A12">
        <v>11</v>
      </c>
      <c r="B12">
        <v>5.4</v>
      </c>
      <c r="C12">
        <v>3.7</v>
      </c>
      <c r="D12">
        <v>1.5</v>
      </c>
      <c r="E12">
        <v>0.2</v>
      </c>
      <c r="F12" t="s">
        <v>7</v>
      </c>
      <c r="G12">
        <v>1</v>
      </c>
      <c r="H12">
        <v>1</v>
      </c>
      <c r="X12">
        <f t="shared" si="8"/>
        <v>5.4</v>
      </c>
      <c r="Y12">
        <f t="shared" si="1"/>
        <v>0</v>
      </c>
      <c r="Z12">
        <f t="shared" si="1"/>
        <v>0</v>
      </c>
    </row>
    <row r="13" spans="1:26" x14ac:dyDescent="0.25">
      <c r="A13">
        <v>12</v>
      </c>
      <c r="B13">
        <v>4.8</v>
      </c>
      <c r="C13">
        <v>3.4</v>
      </c>
      <c r="D13">
        <v>1.6</v>
      </c>
      <c r="E13">
        <v>0.2</v>
      </c>
      <c r="F13" t="s">
        <v>7</v>
      </c>
      <c r="G13">
        <v>1</v>
      </c>
      <c r="H13">
        <v>2</v>
      </c>
      <c r="X13">
        <f t="shared" si="8"/>
        <v>0</v>
      </c>
      <c r="Y13">
        <f t="shared" si="1"/>
        <v>4.8</v>
      </c>
      <c r="Z13">
        <f t="shared" si="1"/>
        <v>0</v>
      </c>
    </row>
    <row r="14" spans="1:26" x14ac:dyDescent="0.25">
      <c r="A14">
        <v>13</v>
      </c>
      <c r="B14">
        <v>4.8</v>
      </c>
      <c r="C14">
        <v>3</v>
      </c>
      <c r="D14">
        <v>1.4</v>
      </c>
      <c r="E14">
        <v>0.1</v>
      </c>
      <c r="F14" t="s">
        <v>7</v>
      </c>
      <c r="G14">
        <v>1</v>
      </c>
      <c r="H14">
        <v>2</v>
      </c>
      <c r="X14">
        <f t="shared" si="8"/>
        <v>0</v>
      </c>
      <c r="Y14">
        <f t="shared" si="1"/>
        <v>4.8</v>
      </c>
      <c r="Z14">
        <f t="shared" si="1"/>
        <v>0</v>
      </c>
    </row>
    <row r="15" spans="1:26" x14ac:dyDescent="0.25">
      <c r="A15">
        <v>14</v>
      </c>
      <c r="B15">
        <v>4.3</v>
      </c>
      <c r="C15">
        <v>3</v>
      </c>
      <c r="D15">
        <v>1.1000000000000001</v>
      </c>
      <c r="E15">
        <v>0.1</v>
      </c>
      <c r="F15" t="s">
        <v>7</v>
      </c>
      <c r="G15">
        <v>1</v>
      </c>
      <c r="H15">
        <v>2</v>
      </c>
      <c r="X15">
        <f t="shared" si="8"/>
        <v>0</v>
      </c>
      <c r="Y15">
        <f t="shared" si="1"/>
        <v>4.3</v>
      </c>
      <c r="Z15">
        <f t="shared" si="1"/>
        <v>0</v>
      </c>
    </row>
    <row r="16" spans="1:26" x14ac:dyDescent="0.25">
      <c r="A16">
        <v>15</v>
      </c>
      <c r="B16">
        <v>5.8</v>
      </c>
      <c r="C16">
        <v>4</v>
      </c>
      <c r="D16">
        <v>1.2</v>
      </c>
      <c r="E16">
        <v>0.2</v>
      </c>
      <c r="F16" t="s">
        <v>7</v>
      </c>
      <c r="G16">
        <v>1</v>
      </c>
      <c r="H16">
        <v>1</v>
      </c>
      <c r="X16">
        <f t="shared" si="8"/>
        <v>5.8</v>
      </c>
      <c r="Y16">
        <f t="shared" si="1"/>
        <v>0</v>
      </c>
      <c r="Z16">
        <f t="shared" si="1"/>
        <v>0</v>
      </c>
    </row>
    <row r="17" spans="1:26" x14ac:dyDescent="0.25">
      <c r="A17">
        <v>16</v>
      </c>
      <c r="B17">
        <v>5.7</v>
      </c>
      <c r="C17">
        <v>4.4000000000000004</v>
      </c>
      <c r="D17">
        <v>1.5</v>
      </c>
      <c r="E17">
        <v>0.4</v>
      </c>
      <c r="F17" t="s">
        <v>7</v>
      </c>
      <c r="G17">
        <v>1</v>
      </c>
      <c r="H17">
        <v>1</v>
      </c>
      <c r="X17">
        <f t="shared" si="8"/>
        <v>5.7</v>
      </c>
      <c r="Y17">
        <f t="shared" si="1"/>
        <v>0</v>
      </c>
      <c r="Z17">
        <f t="shared" si="1"/>
        <v>0</v>
      </c>
    </row>
    <row r="18" spans="1:26" x14ac:dyDescent="0.25">
      <c r="A18">
        <v>17</v>
      </c>
      <c r="B18">
        <v>5.4</v>
      </c>
      <c r="C18">
        <v>3.9</v>
      </c>
      <c r="D18">
        <v>1.3</v>
      </c>
      <c r="E18">
        <v>0.4</v>
      </c>
      <c r="F18" t="s">
        <v>7</v>
      </c>
      <c r="G18">
        <v>1</v>
      </c>
      <c r="H18">
        <v>1</v>
      </c>
      <c r="X18">
        <f t="shared" si="8"/>
        <v>5.4</v>
      </c>
      <c r="Y18">
        <f t="shared" si="8"/>
        <v>0</v>
      </c>
      <c r="Z18">
        <f t="shared" si="8"/>
        <v>0</v>
      </c>
    </row>
    <row r="19" spans="1:26" x14ac:dyDescent="0.25">
      <c r="A19">
        <v>18</v>
      </c>
      <c r="B19">
        <v>5.0999999999999996</v>
      </c>
      <c r="C19">
        <v>3.5</v>
      </c>
      <c r="D19">
        <v>1.4</v>
      </c>
      <c r="E19">
        <v>0.3</v>
      </c>
      <c r="F19" t="s">
        <v>7</v>
      </c>
      <c r="G19">
        <v>1</v>
      </c>
      <c r="H19">
        <v>1</v>
      </c>
      <c r="X19">
        <f t="shared" si="8"/>
        <v>5.0999999999999996</v>
      </c>
      <c r="Y19">
        <f t="shared" si="8"/>
        <v>0</v>
      </c>
      <c r="Z19">
        <f t="shared" si="8"/>
        <v>0</v>
      </c>
    </row>
    <row r="20" spans="1:26" x14ac:dyDescent="0.25">
      <c r="A20">
        <v>19</v>
      </c>
      <c r="B20">
        <v>5.7</v>
      </c>
      <c r="C20">
        <v>3.8</v>
      </c>
      <c r="D20">
        <v>1.7</v>
      </c>
      <c r="E20">
        <v>0.3</v>
      </c>
      <c r="F20" t="s">
        <v>7</v>
      </c>
      <c r="G20">
        <v>1</v>
      </c>
      <c r="H20">
        <v>1</v>
      </c>
      <c r="X20">
        <f t="shared" si="8"/>
        <v>5.7</v>
      </c>
      <c r="Y20">
        <f t="shared" si="8"/>
        <v>0</v>
      </c>
      <c r="Z20">
        <f t="shared" si="8"/>
        <v>0</v>
      </c>
    </row>
    <row r="21" spans="1:26" x14ac:dyDescent="0.25">
      <c r="A21">
        <v>20</v>
      </c>
      <c r="B21">
        <v>5.0999999999999996</v>
      </c>
      <c r="C21">
        <v>3.8</v>
      </c>
      <c r="D21">
        <v>1.5</v>
      </c>
      <c r="E21">
        <v>0.3</v>
      </c>
      <c r="F21" t="s">
        <v>7</v>
      </c>
      <c r="G21">
        <v>1</v>
      </c>
      <c r="H21">
        <v>1</v>
      </c>
      <c r="X21">
        <f t="shared" si="8"/>
        <v>5.0999999999999996</v>
      </c>
      <c r="Y21">
        <f t="shared" si="8"/>
        <v>0</v>
      </c>
      <c r="Z21">
        <f t="shared" si="8"/>
        <v>0</v>
      </c>
    </row>
    <row r="22" spans="1:26" x14ac:dyDescent="0.25">
      <c r="A22">
        <v>21</v>
      </c>
      <c r="B22">
        <v>5.4</v>
      </c>
      <c r="C22">
        <v>3.4</v>
      </c>
      <c r="D22">
        <v>1.7</v>
      </c>
      <c r="E22">
        <v>0.2</v>
      </c>
      <c r="F22" t="s">
        <v>7</v>
      </c>
      <c r="G22">
        <v>1</v>
      </c>
      <c r="H22">
        <v>1</v>
      </c>
      <c r="K22">
        <v>1</v>
      </c>
      <c r="L22">
        <v>2</v>
      </c>
      <c r="M22">
        <v>3</v>
      </c>
      <c r="X22">
        <f t="shared" si="8"/>
        <v>5.4</v>
      </c>
      <c r="Y22">
        <f t="shared" si="8"/>
        <v>0</v>
      </c>
      <c r="Z22">
        <f t="shared" si="8"/>
        <v>0</v>
      </c>
    </row>
    <row r="23" spans="1:26" x14ac:dyDescent="0.25">
      <c r="A23">
        <v>22</v>
      </c>
      <c r="B23">
        <v>5.0999999999999996</v>
      </c>
      <c r="C23">
        <v>3.7</v>
      </c>
      <c r="D23">
        <v>1.5</v>
      </c>
      <c r="E23">
        <v>0.4</v>
      </c>
      <c r="F23" t="s">
        <v>7</v>
      </c>
      <c r="G23">
        <v>1</v>
      </c>
      <c r="H23">
        <v>1</v>
      </c>
      <c r="K23" t="s">
        <v>23</v>
      </c>
      <c r="L23" t="s">
        <v>24</v>
      </c>
      <c r="M23" t="s">
        <v>25</v>
      </c>
      <c r="X23">
        <f t="shared" si="8"/>
        <v>5.0999999999999996</v>
      </c>
      <c r="Y23">
        <f t="shared" si="8"/>
        <v>0</v>
      </c>
      <c r="Z23">
        <f t="shared" si="8"/>
        <v>0</v>
      </c>
    </row>
    <row r="24" spans="1:26" x14ac:dyDescent="0.25">
      <c r="A24">
        <v>23</v>
      </c>
      <c r="B24">
        <v>4.5999999999999996</v>
      </c>
      <c r="C24">
        <v>3.6</v>
      </c>
      <c r="D24">
        <v>1</v>
      </c>
      <c r="E24">
        <v>0.2</v>
      </c>
      <c r="F24" t="s">
        <v>7</v>
      </c>
      <c r="G24">
        <v>1</v>
      </c>
      <c r="H24">
        <v>1</v>
      </c>
      <c r="I24">
        <v>1</v>
      </c>
      <c r="J24" t="s">
        <v>26</v>
      </c>
      <c r="K24">
        <f>COUNTIFS($G$2:$G$151,K$22,$H$2:$H$151,$I24)</f>
        <v>30</v>
      </c>
      <c r="L24">
        <f t="shared" ref="L24:M26" si="9">COUNTIFS($G$2:$G$151,L$22,$H$2:$H$151,$I24)</f>
        <v>0</v>
      </c>
      <c r="M24">
        <f t="shared" si="9"/>
        <v>0</v>
      </c>
      <c r="X24">
        <f t="shared" si="8"/>
        <v>4.5999999999999996</v>
      </c>
      <c r="Y24">
        <f t="shared" si="8"/>
        <v>0</v>
      </c>
      <c r="Z24">
        <f t="shared" si="8"/>
        <v>0</v>
      </c>
    </row>
    <row r="25" spans="1:26" x14ac:dyDescent="0.25">
      <c r="A25">
        <v>24</v>
      </c>
      <c r="B25">
        <v>5.0999999999999996</v>
      </c>
      <c r="C25">
        <v>3.3</v>
      </c>
      <c r="D25">
        <v>1.7</v>
      </c>
      <c r="E25">
        <v>0.5</v>
      </c>
      <c r="F25" t="s">
        <v>7</v>
      </c>
      <c r="G25">
        <v>1</v>
      </c>
      <c r="H25">
        <v>1</v>
      </c>
      <c r="I25">
        <v>2</v>
      </c>
      <c r="J25" t="s">
        <v>27</v>
      </c>
      <c r="K25">
        <f t="shared" ref="K25:K26" si="10">COUNTIFS($G$2:$G$151,K$22,$H$2:$H$151,$I25)</f>
        <v>20</v>
      </c>
      <c r="L25">
        <f t="shared" si="9"/>
        <v>4</v>
      </c>
      <c r="M25">
        <f t="shared" si="9"/>
        <v>0</v>
      </c>
      <c r="X25">
        <f t="shared" si="8"/>
        <v>5.0999999999999996</v>
      </c>
      <c r="Y25">
        <f t="shared" si="8"/>
        <v>0</v>
      </c>
      <c r="Z25">
        <f t="shared" si="8"/>
        <v>0</v>
      </c>
    </row>
    <row r="26" spans="1:26" x14ac:dyDescent="0.25">
      <c r="A26">
        <v>25</v>
      </c>
      <c r="B26">
        <v>4.8</v>
      </c>
      <c r="C26">
        <v>3.4</v>
      </c>
      <c r="D26">
        <v>1.9</v>
      </c>
      <c r="E26">
        <v>0.2</v>
      </c>
      <c r="F26" t="s">
        <v>7</v>
      </c>
      <c r="G26">
        <v>1</v>
      </c>
      <c r="H26">
        <v>2</v>
      </c>
      <c r="I26">
        <v>3</v>
      </c>
      <c r="J26" t="s">
        <v>28</v>
      </c>
      <c r="K26">
        <f t="shared" si="10"/>
        <v>0</v>
      </c>
      <c r="L26">
        <f t="shared" si="9"/>
        <v>46</v>
      </c>
      <c r="M26">
        <f t="shared" si="9"/>
        <v>50</v>
      </c>
      <c r="X26">
        <f t="shared" si="8"/>
        <v>0</v>
      </c>
      <c r="Y26">
        <f t="shared" si="8"/>
        <v>4.8</v>
      </c>
      <c r="Z26">
        <f t="shared" si="8"/>
        <v>0</v>
      </c>
    </row>
    <row r="27" spans="1:26" x14ac:dyDescent="0.25">
      <c r="A27">
        <v>26</v>
      </c>
      <c r="B27">
        <v>5</v>
      </c>
      <c r="C27">
        <v>3</v>
      </c>
      <c r="D27">
        <v>1.6</v>
      </c>
      <c r="E27">
        <v>0.2</v>
      </c>
      <c r="F27" t="s">
        <v>7</v>
      </c>
      <c r="G27">
        <v>1</v>
      </c>
      <c r="H27">
        <v>2</v>
      </c>
      <c r="X27">
        <f t="shared" si="8"/>
        <v>0</v>
      </c>
      <c r="Y27">
        <f t="shared" si="8"/>
        <v>5</v>
      </c>
      <c r="Z27">
        <f t="shared" si="8"/>
        <v>0</v>
      </c>
    </row>
    <row r="28" spans="1:26" x14ac:dyDescent="0.25">
      <c r="A28">
        <v>27</v>
      </c>
      <c r="B28">
        <v>5</v>
      </c>
      <c r="C28">
        <v>3.4</v>
      </c>
      <c r="D28">
        <v>1.6</v>
      </c>
      <c r="E28">
        <v>0.4</v>
      </c>
      <c r="F28" t="s">
        <v>7</v>
      </c>
      <c r="G28">
        <v>1</v>
      </c>
      <c r="H28">
        <v>1</v>
      </c>
      <c r="X28">
        <f t="shared" si="8"/>
        <v>5</v>
      </c>
      <c r="Y28">
        <f t="shared" si="8"/>
        <v>0</v>
      </c>
      <c r="Z28">
        <f t="shared" si="8"/>
        <v>0</v>
      </c>
    </row>
    <row r="29" spans="1:26" x14ac:dyDescent="0.25">
      <c r="A29">
        <v>28</v>
      </c>
      <c r="B29">
        <v>5.2</v>
      </c>
      <c r="C29">
        <v>3.5</v>
      </c>
      <c r="D29">
        <v>1.5</v>
      </c>
      <c r="E29">
        <v>0.2</v>
      </c>
      <c r="F29" t="s">
        <v>7</v>
      </c>
      <c r="G29">
        <v>1</v>
      </c>
      <c r="H29">
        <v>1</v>
      </c>
      <c r="X29">
        <f t="shared" si="8"/>
        <v>5.2</v>
      </c>
      <c r="Y29">
        <f t="shared" si="8"/>
        <v>0</v>
      </c>
      <c r="Z29">
        <f t="shared" si="8"/>
        <v>0</v>
      </c>
    </row>
    <row r="30" spans="1:26" x14ac:dyDescent="0.25">
      <c r="A30">
        <v>29</v>
      </c>
      <c r="B30">
        <v>5.2</v>
      </c>
      <c r="C30">
        <v>3.4</v>
      </c>
      <c r="D30">
        <v>1.4</v>
      </c>
      <c r="E30">
        <v>0.2</v>
      </c>
      <c r="F30" t="s">
        <v>7</v>
      </c>
      <c r="G30">
        <v>1</v>
      </c>
      <c r="H30">
        <v>1</v>
      </c>
      <c r="X30">
        <f t="shared" si="8"/>
        <v>5.2</v>
      </c>
      <c r="Y30">
        <f t="shared" si="8"/>
        <v>0</v>
      </c>
      <c r="Z30">
        <f t="shared" si="8"/>
        <v>0</v>
      </c>
    </row>
    <row r="31" spans="1:26" x14ac:dyDescent="0.25">
      <c r="A31">
        <v>30</v>
      </c>
      <c r="B31">
        <v>4.7</v>
      </c>
      <c r="C31">
        <v>3.2</v>
      </c>
      <c r="D31">
        <v>1.6</v>
      </c>
      <c r="E31">
        <v>0.2</v>
      </c>
      <c r="F31" t="s">
        <v>7</v>
      </c>
      <c r="G31">
        <v>1</v>
      </c>
      <c r="H31">
        <v>2</v>
      </c>
      <c r="X31">
        <f t="shared" si="8"/>
        <v>0</v>
      </c>
      <c r="Y31">
        <f t="shared" si="8"/>
        <v>4.7</v>
      </c>
      <c r="Z31">
        <f t="shared" si="8"/>
        <v>0</v>
      </c>
    </row>
    <row r="32" spans="1:26" x14ac:dyDescent="0.25">
      <c r="A32">
        <v>31</v>
      </c>
      <c r="B32">
        <v>4.8</v>
      </c>
      <c r="C32">
        <v>3.1</v>
      </c>
      <c r="D32">
        <v>1.6</v>
      </c>
      <c r="E32">
        <v>0.2</v>
      </c>
      <c r="F32" t="s">
        <v>7</v>
      </c>
      <c r="G32">
        <v>1</v>
      </c>
      <c r="H32">
        <v>2</v>
      </c>
      <c r="X32">
        <f t="shared" si="8"/>
        <v>0</v>
      </c>
      <c r="Y32">
        <f t="shared" si="8"/>
        <v>4.8</v>
      </c>
      <c r="Z32">
        <f t="shared" si="8"/>
        <v>0</v>
      </c>
    </row>
    <row r="33" spans="1:26" x14ac:dyDescent="0.25">
      <c r="A33">
        <v>32</v>
      </c>
      <c r="B33">
        <v>5.4</v>
      </c>
      <c r="C33">
        <v>3.4</v>
      </c>
      <c r="D33">
        <v>1.5</v>
      </c>
      <c r="E33">
        <v>0.4</v>
      </c>
      <c r="F33" t="s">
        <v>7</v>
      </c>
      <c r="G33">
        <v>1</v>
      </c>
      <c r="H33">
        <v>1</v>
      </c>
      <c r="X33">
        <f t="shared" si="8"/>
        <v>5.4</v>
      </c>
      <c r="Y33">
        <f t="shared" si="8"/>
        <v>0</v>
      </c>
      <c r="Z33">
        <f t="shared" si="8"/>
        <v>0</v>
      </c>
    </row>
    <row r="34" spans="1:26" x14ac:dyDescent="0.25">
      <c r="A34">
        <v>33</v>
      </c>
      <c r="B34">
        <v>5.2</v>
      </c>
      <c r="C34">
        <v>4.0999999999999996</v>
      </c>
      <c r="D34">
        <v>1.5</v>
      </c>
      <c r="E34">
        <v>0.1</v>
      </c>
      <c r="F34" t="s">
        <v>7</v>
      </c>
      <c r="G34">
        <v>1</v>
      </c>
      <c r="H34">
        <v>1</v>
      </c>
      <c r="X34">
        <f t="shared" si="8"/>
        <v>5.2</v>
      </c>
      <c r="Y34">
        <f t="shared" si="8"/>
        <v>0</v>
      </c>
      <c r="Z34">
        <f t="shared" si="8"/>
        <v>0</v>
      </c>
    </row>
    <row r="35" spans="1:26" x14ac:dyDescent="0.25">
      <c r="A35">
        <v>34</v>
      </c>
      <c r="B35">
        <v>5.5</v>
      </c>
      <c r="C35">
        <v>4.2</v>
      </c>
      <c r="D35">
        <v>1.4</v>
      </c>
      <c r="E35">
        <v>0.2</v>
      </c>
      <c r="F35" t="s">
        <v>7</v>
      </c>
      <c r="G35">
        <v>1</v>
      </c>
      <c r="H35">
        <v>1</v>
      </c>
      <c r="X35">
        <f t="shared" ref="X35:Z66" si="11">IF(X$1=$H35,$B35,0)</f>
        <v>5.5</v>
      </c>
      <c r="Y35">
        <f t="shared" si="11"/>
        <v>0</v>
      </c>
      <c r="Z35">
        <f t="shared" si="11"/>
        <v>0</v>
      </c>
    </row>
    <row r="36" spans="1:26" x14ac:dyDescent="0.25">
      <c r="A36">
        <v>35</v>
      </c>
      <c r="B36">
        <v>4.9000000000000004</v>
      </c>
      <c r="C36">
        <v>3.1</v>
      </c>
      <c r="D36">
        <v>1.5</v>
      </c>
      <c r="E36">
        <v>0.1</v>
      </c>
      <c r="F36" t="s">
        <v>7</v>
      </c>
      <c r="G36">
        <v>1</v>
      </c>
      <c r="H36">
        <v>2</v>
      </c>
      <c r="X36">
        <f t="shared" si="11"/>
        <v>0</v>
      </c>
      <c r="Y36">
        <f t="shared" si="11"/>
        <v>4.9000000000000004</v>
      </c>
      <c r="Z36">
        <f t="shared" si="11"/>
        <v>0</v>
      </c>
    </row>
    <row r="37" spans="1:26" x14ac:dyDescent="0.25">
      <c r="A37">
        <v>36</v>
      </c>
      <c r="B37">
        <v>5</v>
      </c>
      <c r="C37">
        <v>3.2</v>
      </c>
      <c r="D37">
        <v>1.2</v>
      </c>
      <c r="E37">
        <v>0.2</v>
      </c>
      <c r="F37" t="s">
        <v>7</v>
      </c>
      <c r="G37">
        <v>1</v>
      </c>
      <c r="H37">
        <v>1</v>
      </c>
      <c r="X37">
        <f t="shared" si="11"/>
        <v>5</v>
      </c>
      <c r="Y37">
        <f t="shared" si="11"/>
        <v>0</v>
      </c>
      <c r="Z37">
        <f t="shared" si="11"/>
        <v>0</v>
      </c>
    </row>
    <row r="38" spans="1:26" x14ac:dyDescent="0.25">
      <c r="A38">
        <v>37</v>
      </c>
      <c r="B38">
        <v>5.5</v>
      </c>
      <c r="C38">
        <v>3.5</v>
      </c>
      <c r="D38">
        <v>1.3</v>
      </c>
      <c r="E38">
        <v>0.2</v>
      </c>
      <c r="F38" t="s">
        <v>7</v>
      </c>
      <c r="G38">
        <v>1</v>
      </c>
      <c r="H38">
        <v>1</v>
      </c>
      <c r="X38">
        <f t="shared" si="11"/>
        <v>5.5</v>
      </c>
      <c r="Y38">
        <f t="shared" si="11"/>
        <v>0</v>
      </c>
      <c r="Z38">
        <f t="shared" si="11"/>
        <v>0</v>
      </c>
    </row>
    <row r="39" spans="1:26" x14ac:dyDescent="0.25">
      <c r="A39">
        <v>38</v>
      </c>
      <c r="B39">
        <v>4.9000000000000004</v>
      </c>
      <c r="C39">
        <v>3.1</v>
      </c>
      <c r="D39">
        <v>1.5</v>
      </c>
      <c r="E39">
        <v>0.1</v>
      </c>
      <c r="F39" t="s">
        <v>7</v>
      </c>
      <c r="G39">
        <v>1</v>
      </c>
      <c r="H39">
        <v>2</v>
      </c>
      <c r="X39">
        <f t="shared" si="11"/>
        <v>0</v>
      </c>
      <c r="Y39">
        <f t="shared" si="11"/>
        <v>4.9000000000000004</v>
      </c>
      <c r="Z39">
        <f t="shared" si="11"/>
        <v>0</v>
      </c>
    </row>
    <row r="40" spans="1:26" x14ac:dyDescent="0.25">
      <c r="A40">
        <v>39</v>
      </c>
      <c r="B40">
        <v>4.4000000000000004</v>
      </c>
      <c r="C40">
        <v>3</v>
      </c>
      <c r="D40">
        <v>1.3</v>
      </c>
      <c r="E40">
        <v>0.2</v>
      </c>
      <c r="F40" t="s">
        <v>7</v>
      </c>
      <c r="G40">
        <v>1</v>
      </c>
      <c r="H40">
        <v>2</v>
      </c>
      <c r="X40">
        <f t="shared" si="11"/>
        <v>0</v>
      </c>
      <c r="Y40">
        <f t="shared" si="11"/>
        <v>4.4000000000000004</v>
      </c>
      <c r="Z40">
        <f t="shared" si="11"/>
        <v>0</v>
      </c>
    </row>
    <row r="41" spans="1:26" x14ac:dyDescent="0.25">
      <c r="A41">
        <v>40</v>
      </c>
      <c r="B41">
        <v>5.0999999999999996</v>
      </c>
      <c r="C41">
        <v>3.4</v>
      </c>
      <c r="D41">
        <v>1.5</v>
      </c>
      <c r="E41">
        <v>0.2</v>
      </c>
      <c r="F41" t="s">
        <v>7</v>
      </c>
      <c r="G41">
        <v>1</v>
      </c>
      <c r="H41">
        <v>1</v>
      </c>
      <c r="X41">
        <f t="shared" si="11"/>
        <v>5.0999999999999996</v>
      </c>
      <c r="Y41">
        <f t="shared" si="11"/>
        <v>0</v>
      </c>
      <c r="Z41">
        <f t="shared" si="11"/>
        <v>0</v>
      </c>
    </row>
    <row r="42" spans="1:26" x14ac:dyDescent="0.25">
      <c r="A42">
        <v>41</v>
      </c>
      <c r="B42">
        <v>5</v>
      </c>
      <c r="C42">
        <v>3.5</v>
      </c>
      <c r="D42">
        <v>1.3</v>
      </c>
      <c r="E42">
        <v>0.3</v>
      </c>
      <c r="F42" t="s">
        <v>7</v>
      </c>
      <c r="G42">
        <v>1</v>
      </c>
      <c r="H42">
        <v>1</v>
      </c>
      <c r="X42">
        <f t="shared" si="11"/>
        <v>5</v>
      </c>
      <c r="Y42">
        <f t="shared" si="11"/>
        <v>0</v>
      </c>
      <c r="Z42">
        <f t="shared" si="11"/>
        <v>0</v>
      </c>
    </row>
    <row r="43" spans="1:26" x14ac:dyDescent="0.25">
      <c r="A43">
        <v>42</v>
      </c>
      <c r="B43">
        <v>4.5</v>
      </c>
      <c r="C43">
        <v>2.2999999999999998</v>
      </c>
      <c r="D43">
        <v>1.3</v>
      </c>
      <c r="E43">
        <v>0.3</v>
      </c>
      <c r="F43" t="s">
        <v>7</v>
      </c>
      <c r="G43">
        <v>1</v>
      </c>
      <c r="H43">
        <v>2</v>
      </c>
      <c r="X43">
        <f t="shared" si="11"/>
        <v>0</v>
      </c>
      <c r="Y43">
        <f t="shared" si="11"/>
        <v>4.5</v>
      </c>
      <c r="Z43">
        <f t="shared" si="11"/>
        <v>0</v>
      </c>
    </row>
    <row r="44" spans="1:26" x14ac:dyDescent="0.25">
      <c r="A44">
        <v>43</v>
      </c>
      <c r="B44">
        <v>4.4000000000000004</v>
      </c>
      <c r="C44">
        <v>3.2</v>
      </c>
      <c r="D44">
        <v>1.3</v>
      </c>
      <c r="E44">
        <v>0.2</v>
      </c>
      <c r="F44" t="s">
        <v>7</v>
      </c>
      <c r="G44">
        <v>1</v>
      </c>
      <c r="H44">
        <v>2</v>
      </c>
      <c r="X44">
        <f t="shared" si="11"/>
        <v>0</v>
      </c>
      <c r="Y44">
        <f t="shared" si="11"/>
        <v>4.4000000000000004</v>
      </c>
      <c r="Z44">
        <f t="shared" si="11"/>
        <v>0</v>
      </c>
    </row>
    <row r="45" spans="1:26" x14ac:dyDescent="0.25">
      <c r="A45">
        <v>44</v>
      </c>
      <c r="B45">
        <v>5</v>
      </c>
      <c r="C45">
        <v>3.5</v>
      </c>
      <c r="D45">
        <v>1.6</v>
      </c>
      <c r="E45">
        <v>0.6</v>
      </c>
      <c r="F45" t="s">
        <v>7</v>
      </c>
      <c r="G45">
        <v>1</v>
      </c>
      <c r="H45">
        <v>1</v>
      </c>
      <c r="X45">
        <f t="shared" si="11"/>
        <v>5</v>
      </c>
      <c r="Y45">
        <f t="shared" si="11"/>
        <v>0</v>
      </c>
      <c r="Z45">
        <f t="shared" si="11"/>
        <v>0</v>
      </c>
    </row>
    <row r="46" spans="1:26" x14ac:dyDescent="0.25">
      <c r="A46">
        <v>45</v>
      </c>
      <c r="B46">
        <v>5.0999999999999996</v>
      </c>
      <c r="C46">
        <v>3.8</v>
      </c>
      <c r="D46">
        <v>1.9</v>
      </c>
      <c r="E46">
        <v>0.4</v>
      </c>
      <c r="F46" t="s">
        <v>7</v>
      </c>
      <c r="G46">
        <v>1</v>
      </c>
      <c r="H46">
        <v>1</v>
      </c>
      <c r="X46">
        <f t="shared" si="11"/>
        <v>5.0999999999999996</v>
      </c>
      <c r="Y46">
        <f t="shared" si="11"/>
        <v>0</v>
      </c>
      <c r="Z46">
        <f t="shared" si="11"/>
        <v>0</v>
      </c>
    </row>
    <row r="47" spans="1:26" x14ac:dyDescent="0.25">
      <c r="A47">
        <v>46</v>
      </c>
      <c r="B47">
        <v>4.8</v>
      </c>
      <c r="C47">
        <v>3</v>
      </c>
      <c r="D47">
        <v>1.4</v>
      </c>
      <c r="E47">
        <v>0.3</v>
      </c>
      <c r="F47" t="s">
        <v>7</v>
      </c>
      <c r="G47">
        <v>1</v>
      </c>
      <c r="H47">
        <v>2</v>
      </c>
      <c r="X47">
        <f t="shared" si="11"/>
        <v>0</v>
      </c>
      <c r="Y47">
        <f t="shared" si="11"/>
        <v>4.8</v>
      </c>
      <c r="Z47">
        <f t="shared" si="11"/>
        <v>0</v>
      </c>
    </row>
    <row r="48" spans="1:26" x14ac:dyDescent="0.25">
      <c r="A48">
        <v>47</v>
      </c>
      <c r="B48">
        <v>5.0999999999999996</v>
      </c>
      <c r="C48">
        <v>3.8</v>
      </c>
      <c r="D48">
        <v>1.6</v>
      </c>
      <c r="E48">
        <v>0.2</v>
      </c>
      <c r="F48" t="s">
        <v>7</v>
      </c>
      <c r="G48">
        <v>1</v>
      </c>
      <c r="H48">
        <v>1</v>
      </c>
      <c r="X48">
        <f t="shared" si="11"/>
        <v>5.0999999999999996</v>
      </c>
      <c r="Y48">
        <f t="shared" si="11"/>
        <v>0</v>
      </c>
      <c r="Z48">
        <f t="shared" si="11"/>
        <v>0</v>
      </c>
    </row>
    <row r="49" spans="1:26" x14ac:dyDescent="0.25">
      <c r="A49">
        <v>48</v>
      </c>
      <c r="B49">
        <v>4.5999999999999996</v>
      </c>
      <c r="C49">
        <v>3.2</v>
      </c>
      <c r="D49">
        <v>1.4</v>
      </c>
      <c r="E49">
        <v>0.2</v>
      </c>
      <c r="F49" t="s">
        <v>7</v>
      </c>
      <c r="G49">
        <v>1</v>
      </c>
      <c r="H49">
        <v>2</v>
      </c>
      <c r="X49">
        <f t="shared" si="11"/>
        <v>0</v>
      </c>
      <c r="Y49">
        <f t="shared" si="11"/>
        <v>4.5999999999999996</v>
      </c>
      <c r="Z49">
        <f t="shared" si="11"/>
        <v>0</v>
      </c>
    </row>
    <row r="50" spans="1:26" x14ac:dyDescent="0.25">
      <c r="A50">
        <v>49</v>
      </c>
      <c r="B50">
        <v>5.3</v>
      </c>
      <c r="C50">
        <v>3.7</v>
      </c>
      <c r="D50">
        <v>1.5</v>
      </c>
      <c r="E50">
        <v>0.2</v>
      </c>
      <c r="F50" t="s">
        <v>7</v>
      </c>
      <c r="G50">
        <v>1</v>
      </c>
      <c r="H50">
        <v>1</v>
      </c>
      <c r="X50">
        <f t="shared" si="11"/>
        <v>5.3</v>
      </c>
      <c r="Y50">
        <f t="shared" si="11"/>
        <v>0</v>
      </c>
      <c r="Z50">
        <f t="shared" si="11"/>
        <v>0</v>
      </c>
    </row>
    <row r="51" spans="1:26" x14ac:dyDescent="0.25">
      <c r="A51">
        <v>50</v>
      </c>
      <c r="B51">
        <v>5</v>
      </c>
      <c r="C51">
        <v>3.3</v>
      </c>
      <c r="D51">
        <v>1.4</v>
      </c>
      <c r="E51">
        <v>0.2</v>
      </c>
      <c r="F51" t="s">
        <v>7</v>
      </c>
      <c r="G51">
        <v>1</v>
      </c>
      <c r="H51">
        <v>1</v>
      </c>
      <c r="X51">
        <f t="shared" si="11"/>
        <v>5</v>
      </c>
      <c r="Y51">
        <f t="shared" si="11"/>
        <v>0</v>
      </c>
      <c r="Z51">
        <f t="shared" si="11"/>
        <v>0</v>
      </c>
    </row>
    <row r="52" spans="1:26" x14ac:dyDescent="0.25">
      <c r="A52">
        <v>51</v>
      </c>
      <c r="B52">
        <v>7</v>
      </c>
      <c r="C52">
        <v>3.2</v>
      </c>
      <c r="D52">
        <v>4.7</v>
      </c>
      <c r="E52">
        <v>1.4</v>
      </c>
      <c r="F52" t="s">
        <v>8</v>
      </c>
      <c r="G52">
        <v>2</v>
      </c>
      <c r="H52">
        <v>3</v>
      </c>
      <c r="X52">
        <f t="shared" si="11"/>
        <v>0</v>
      </c>
      <c r="Y52">
        <f t="shared" si="11"/>
        <v>0</v>
      </c>
      <c r="Z52">
        <f t="shared" si="11"/>
        <v>7</v>
      </c>
    </row>
    <row r="53" spans="1:26" x14ac:dyDescent="0.25">
      <c r="A53">
        <v>52</v>
      </c>
      <c r="B53">
        <v>6.4</v>
      </c>
      <c r="C53">
        <v>3.2</v>
      </c>
      <c r="D53">
        <v>4.5</v>
      </c>
      <c r="E53">
        <v>1.5</v>
      </c>
      <c r="F53" t="s">
        <v>8</v>
      </c>
      <c r="G53">
        <v>2</v>
      </c>
      <c r="H53">
        <v>3</v>
      </c>
      <c r="X53">
        <f t="shared" si="11"/>
        <v>0</v>
      </c>
      <c r="Y53">
        <f t="shared" si="11"/>
        <v>0</v>
      </c>
      <c r="Z53">
        <f t="shared" si="11"/>
        <v>6.4</v>
      </c>
    </row>
    <row r="54" spans="1:26" x14ac:dyDescent="0.25">
      <c r="A54">
        <v>53</v>
      </c>
      <c r="B54">
        <v>6.9</v>
      </c>
      <c r="C54">
        <v>3.1</v>
      </c>
      <c r="D54">
        <v>4.9000000000000004</v>
      </c>
      <c r="E54">
        <v>1.5</v>
      </c>
      <c r="F54" t="s">
        <v>8</v>
      </c>
      <c r="G54">
        <v>2</v>
      </c>
      <c r="H54">
        <v>3</v>
      </c>
      <c r="X54">
        <f t="shared" si="11"/>
        <v>0</v>
      </c>
      <c r="Y54">
        <f t="shared" si="11"/>
        <v>0</v>
      </c>
      <c r="Z54">
        <f t="shared" si="11"/>
        <v>6.9</v>
      </c>
    </row>
    <row r="55" spans="1:26" x14ac:dyDescent="0.25">
      <c r="A55">
        <v>54</v>
      </c>
      <c r="B55">
        <v>5.5</v>
      </c>
      <c r="C55">
        <v>2.2999999999999998</v>
      </c>
      <c r="D55">
        <v>4</v>
      </c>
      <c r="E55">
        <v>1.3</v>
      </c>
      <c r="F55" t="s">
        <v>8</v>
      </c>
      <c r="G55">
        <v>2</v>
      </c>
      <c r="H55">
        <v>3</v>
      </c>
      <c r="X55">
        <f t="shared" si="11"/>
        <v>0</v>
      </c>
      <c r="Y55">
        <f t="shared" si="11"/>
        <v>0</v>
      </c>
      <c r="Z55">
        <f t="shared" si="11"/>
        <v>5.5</v>
      </c>
    </row>
    <row r="56" spans="1:26" x14ac:dyDescent="0.25">
      <c r="A56">
        <v>55</v>
      </c>
      <c r="B56">
        <v>6.5</v>
      </c>
      <c r="C56">
        <v>2.8</v>
      </c>
      <c r="D56">
        <v>4.5999999999999996</v>
      </c>
      <c r="E56">
        <v>1.5</v>
      </c>
      <c r="F56" t="s">
        <v>8</v>
      </c>
      <c r="G56">
        <v>2</v>
      </c>
      <c r="H56">
        <v>3</v>
      </c>
      <c r="X56">
        <f t="shared" si="11"/>
        <v>0</v>
      </c>
      <c r="Y56">
        <f t="shared" si="11"/>
        <v>0</v>
      </c>
      <c r="Z56">
        <f t="shared" si="11"/>
        <v>6.5</v>
      </c>
    </row>
    <row r="57" spans="1:26" x14ac:dyDescent="0.25">
      <c r="A57">
        <v>56</v>
      </c>
      <c r="B57">
        <v>5.7</v>
      </c>
      <c r="C57">
        <v>2.8</v>
      </c>
      <c r="D57">
        <v>4.5</v>
      </c>
      <c r="E57">
        <v>1.3</v>
      </c>
      <c r="F57" t="s">
        <v>8</v>
      </c>
      <c r="G57">
        <v>2</v>
      </c>
      <c r="H57">
        <v>3</v>
      </c>
      <c r="X57">
        <f t="shared" si="11"/>
        <v>0</v>
      </c>
      <c r="Y57">
        <f t="shared" si="11"/>
        <v>0</v>
      </c>
      <c r="Z57">
        <f t="shared" si="11"/>
        <v>5.7</v>
      </c>
    </row>
    <row r="58" spans="1:26" x14ac:dyDescent="0.25">
      <c r="A58">
        <v>57</v>
      </c>
      <c r="B58">
        <v>6.3</v>
      </c>
      <c r="C58">
        <v>3.3</v>
      </c>
      <c r="D58">
        <v>4.7</v>
      </c>
      <c r="E58">
        <v>1.6</v>
      </c>
      <c r="F58" t="s">
        <v>8</v>
      </c>
      <c r="G58">
        <v>2</v>
      </c>
      <c r="H58">
        <v>3</v>
      </c>
      <c r="X58">
        <f t="shared" si="11"/>
        <v>0</v>
      </c>
      <c r="Y58">
        <f t="shared" si="11"/>
        <v>0</v>
      </c>
      <c r="Z58">
        <f t="shared" si="11"/>
        <v>6.3</v>
      </c>
    </row>
    <row r="59" spans="1:26" x14ac:dyDescent="0.25">
      <c r="A59">
        <v>58</v>
      </c>
      <c r="B59">
        <v>4.9000000000000004</v>
      </c>
      <c r="C59">
        <v>2.4</v>
      </c>
      <c r="D59">
        <v>3.3</v>
      </c>
      <c r="E59">
        <v>1</v>
      </c>
      <c r="F59" t="s">
        <v>8</v>
      </c>
      <c r="G59">
        <v>2</v>
      </c>
      <c r="H59">
        <v>2</v>
      </c>
      <c r="X59">
        <f t="shared" si="11"/>
        <v>0</v>
      </c>
      <c r="Y59">
        <f t="shared" si="11"/>
        <v>4.9000000000000004</v>
      </c>
      <c r="Z59">
        <f t="shared" si="11"/>
        <v>0</v>
      </c>
    </row>
    <row r="60" spans="1:26" x14ac:dyDescent="0.25">
      <c r="A60">
        <v>59</v>
      </c>
      <c r="B60">
        <v>6.6</v>
      </c>
      <c r="C60">
        <v>2.9</v>
      </c>
      <c r="D60">
        <v>4.5999999999999996</v>
      </c>
      <c r="E60">
        <v>1.3</v>
      </c>
      <c r="F60" t="s">
        <v>8</v>
      </c>
      <c r="G60">
        <v>2</v>
      </c>
      <c r="H60">
        <v>3</v>
      </c>
      <c r="X60">
        <f t="shared" si="11"/>
        <v>0</v>
      </c>
      <c r="Y60">
        <f t="shared" si="11"/>
        <v>0</v>
      </c>
      <c r="Z60">
        <f t="shared" si="11"/>
        <v>6.6</v>
      </c>
    </row>
    <row r="61" spans="1:26" x14ac:dyDescent="0.25">
      <c r="A61">
        <v>60</v>
      </c>
      <c r="B61">
        <v>5.2</v>
      </c>
      <c r="C61">
        <v>2.7</v>
      </c>
      <c r="D61">
        <v>3.9</v>
      </c>
      <c r="E61">
        <v>1.4</v>
      </c>
      <c r="F61" t="s">
        <v>8</v>
      </c>
      <c r="G61">
        <v>2</v>
      </c>
      <c r="H61">
        <v>3</v>
      </c>
      <c r="X61">
        <f t="shared" si="11"/>
        <v>0</v>
      </c>
      <c r="Y61">
        <f t="shared" si="11"/>
        <v>0</v>
      </c>
      <c r="Z61">
        <f t="shared" si="11"/>
        <v>5.2</v>
      </c>
    </row>
    <row r="62" spans="1:26" x14ac:dyDescent="0.25">
      <c r="A62">
        <v>61</v>
      </c>
      <c r="B62">
        <v>5</v>
      </c>
      <c r="C62">
        <v>2</v>
      </c>
      <c r="D62">
        <v>3.5</v>
      </c>
      <c r="E62">
        <v>1</v>
      </c>
      <c r="F62" t="s">
        <v>8</v>
      </c>
      <c r="G62">
        <v>2</v>
      </c>
      <c r="H62">
        <v>2</v>
      </c>
      <c r="X62">
        <f t="shared" si="11"/>
        <v>0</v>
      </c>
      <c r="Y62">
        <f t="shared" si="11"/>
        <v>5</v>
      </c>
      <c r="Z62">
        <f t="shared" si="11"/>
        <v>0</v>
      </c>
    </row>
    <row r="63" spans="1:26" x14ac:dyDescent="0.25">
      <c r="A63">
        <v>62</v>
      </c>
      <c r="B63">
        <v>5.9</v>
      </c>
      <c r="C63">
        <v>3</v>
      </c>
      <c r="D63">
        <v>4.2</v>
      </c>
      <c r="E63">
        <v>1.5</v>
      </c>
      <c r="F63" t="s">
        <v>8</v>
      </c>
      <c r="G63">
        <v>2</v>
      </c>
      <c r="H63">
        <v>3</v>
      </c>
      <c r="X63">
        <f t="shared" si="11"/>
        <v>0</v>
      </c>
      <c r="Y63">
        <f t="shared" si="11"/>
        <v>0</v>
      </c>
      <c r="Z63">
        <f t="shared" si="11"/>
        <v>5.9</v>
      </c>
    </row>
    <row r="64" spans="1:26" x14ac:dyDescent="0.25">
      <c r="A64">
        <v>63</v>
      </c>
      <c r="B64">
        <v>6</v>
      </c>
      <c r="C64">
        <v>2.2000000000000002</v>
      </c>
      <c r="D64">
        <v>4</v>
      </c>
      <c r="E64">
        <v>1</v>
      </c>
      <c r="F64" t="s">
        <v>8</v>
      </c>
      <c r="G64">
        <v>2</v>
      </c>
      <c r="H64">
        <v>3</v>
      </c>
      <c r="X64">
        <f t="shared" si="11"/>
        <v>0</v>
      </c>
      <c r="Y64">
        <f t="shared" si="11"/>
        <v>0</v>
      </c>
      <c r="Z64">
        <f t="shared" si="11"/>
        <v>6</v>
      </c>
    </row>
    <row r="65" spans="1:26" x14ac:dyDescent="0.25">
      <c r="A65">
        <v>64</v>
      </c>
      <c r="B65">
        <v>6.1</v>
      </c>
      <c r="C65">
        <v>2.9</v>
      </c>
      <c r="D65">
        <v>4.7</v>
      </c>
      <c r="E65">
        <v>1.4</v>
      </c>
      <c r="F65" t="s">
        <v>8</v>
      </c>
      <c r="G65">
        <v>2</v>
      </c>
      <c r="H65">
        <v>3</v>
      </c>
      <c r="X65">
        <f t="shared" si="11"/>
        <v>0</v>
      </c>
      <c r="Y65">
        <f t="shared" si="11"/>
        <v>0</v>
      </c>
      <c r="Z65">
        <f t="shared" si="11"/>
        <v>6.1</v>
      </c>
    </row>
    <row r="66" spans="1:26" x14ac:dyDescent="0.25">
      <c r="A66">
        <v>65</v>
      </c>
      <c r="B66">
        <v>5.6</v>
      </c>
      <c r="C66">
        <v>2.9</v>
      </c>
      <c r="D66">
        <v>3.6</v>
      </c>
      <c r="E66">
        <v>1.3</v>
      </c>
      <c r="F66" t="s">
        <v>8</v>
      </c>
      <c r="G66">
        <v>2</v>
      </c>
      <c r="H66">
        <v>3</v>
      </c>
      <c r="X66">
        <f t="shared" si="11"/>
        <v>0</v>
      </c>
      <c r="Y66">
        <f t="shared" si="11"/>
        <v>0</v>
      </c>
      <c r="Z66">
        <f t="shared" si="11"/>
        <v>5.6</v>
      </c>
    </row>
    <row r="67" spans="1:26" x14ac:dyDescent="0.25">
      <c r="A67">
        <v>66</v>
      </c>
      <c r="B67">
        <v>6.7</v>
      </c>
      <c r="C67">
        <v>3.1</v>
      </c>
      <c r="D67">
        <v>4.4000000000000004</v>
      </c>
      <c r="E67">
        <v>1.4</v>
      </c>
      <c r="F67" t="s">
        <v>8</v>
      </c>
      <c r="G67">
        <v>2</v>
      </c>
      <c r="H67">
        <v>3</v>
      </c>
      <c r="X67">
        <f t="shared" ref="X67:Z98" si="12">IF(X$1=$H67,$B67,0)</f>
        <v>0</v>
      </c>
      <c r="Y67">
        <f t="shared" si="12"/>
        <v>0</v>
      </c>
      <c r="Z67">
        <f t="shared" si="12"/>
        <v>6.7</v>
      </c>
    </row>
    <row r="68" spans="1:26" x14ac:dyDescent="0.25">
      <c r="A68">
        <v>67</v>
      </c>
      <c r="B68">
        <v>5.6</v>
      </c>
      <c r="C68">
        <v>3</v>
      </c>
      <c r="D68">
        <v>4.5</v>
      </c>
      <c r="E68">
        <v>1.5</v>
      </c>
      <c r="F68" t="s">
        <v>8</v>
      </c>
      <c r="G68">
        <v>2</v>
      </c>
      <c r="H68">
        <v>3</v>
      </c>
      <c r="X68">
        <f t="shared" si="12"/>
        <v>0</v>
      </c>
      <c r="Y68">
        <f t="shared" si="12"/>
        <v>0</v>
      </c>
      <c r="Z68">
        <f t="shared" si="12"/>
        <v>5.6</v>
      </c>
    </row>
    <row r="69" spans="1:26" x14ac:dyDescent="0.25">
      <c r="A69">
        <v>68</v>
      </c>
      <c r="B69">
        <v>5.8</v>
      </c>
      <c r="C69">
        <v>2.7</v>
      </c>
      <c r="D69">
        <v>4.0999999999999996</v>
      </c>
      <c r="E69">
        <v>1</v>
      </c>
      <c r="F69" t="s">
        <v>8</v>
      </c>
      <c r="G69">
        <v>2</v>
      </c>
      <c r="H69">
        <v>3</v>
      </c>
      <c r="X69">
        <f t="shared" si="12"/>
        <v>0</v>
      </c>
      <c r="Y69">
        <f t="shared" si="12"/>
        <v>0</v>
      </c>
      <c r="Z69">
        <f t="shared" si="12"/>
        <v>5.8</v>
      </c>
    </row>
    <row r="70" spans="1:26" x14ac:dyDescent="0.25">
      <c r="A70">
        <v>69</v>
      </c>
      <c r="B70">
        <v>6.2</v>
      </c>
      <c r="C70">
        <v>2.2000000000000002</v>
      </c>
      <c r="D70">
        <v>4.5</v>
      </c>
      <c r="E70">
        <v>1.5</v>
      </c>
      <c r="F70" t="s">
        <v>8</v>
      </c>
      <c r="G70">
        <v>2</v>
      </c>
      <c r="H70">
        <v>3</v>
      </c>
      <c r="X70">
        <f t="shared" si="12"/>
        <v>0</v>
      </c>
      <c r="Y70">
        <f t="shared" si="12"/>
        <v>0</v>
      </c>
      <c r="Z70">
        <f t="shared" si="12"/>
        <v>6.2</v>
      </c>
    </row>
    <row r="71" spans="1:26" x14ac:dyDescent="0.25">
      <c r="A71">
        <v>70</v>
      </c>
      <c r="B71">
        <v>5.6</v>
      </c>
      <c r="C71">
        <v>2.5</v>
      </c>
      <c r="D71">
        <v>3.9</v>
      </c>
      <c r="E71">
        <v>1.1000000000000001</v>
      </c>
      <c r="F71" t="s">
        <v>8</v>
      </c>
      <c r="G71">
        <v>2</v>
      </c>
      <c r="H71">
        <v>3</v>
      </c>
      <c r="X71">
        <f t="shared" si="12"/>
        <v>0</v>
      </c>
      <c r="Y71">
        <f t="shared" si="12"/>
        <v>0</v>
      </c>
      <c r="Z71">
        <f t="shared" si="12"/>
        <v>5.6</v>
      </c>
    </row>
    <row r="72" spans="1:26" x14ac:dyDescent="0.25">
      <c r="A72">
        <v>71</v>
      </c>
      <c r="B72">
        <v>5.9</v>
      </c>
      <c r="C72">
        <v>3.2</v>
      </c>
      <c r="D72">
        <v>4.8</v>
      </c>
      <c r="E72">
        <v>1.8</v>
      </c>
      <c r="F72" t="s">
        <v>8</v>
      </c>
      <c r="G72">
        <v>2</v>
      </c>
      <c r="H72">
        <v>3</v>
      </c>
      <c r="X72">
        <f t="shared" si="12"/>
        <v>0</v>
      </c>
      <c r="Y72">
        <f t="shared" si="12"/>
        <v>0</v>
      </c>
      <c r="Z72">
        <f t="shared" si="12"/>
        <v>5.9</v>
      </c>
    </row>
    <row r="73" spans="1:26" x14ac:dyDescent="0.25">
      <c r="A73">
        <v>72</v>
      </c>
      <c r="B73">
        <v>6.1</v>
      </c>
      <c r="C73">
        <v>2.8</v>
      </c>
      <c r="D73">
        <v>4</v>
      </c>
      <c r="E73">
        <v>1.3</v>
      </c>
      <c r="F73" t="s">
        <v>8</v>
      </c>
      <c r="G73">
        <v>2</v>
      </c>
      <c r="H73">
        <v>3</v>
      </c>
      <c r="X73">
        <f t="shared" si="12"/>
        <v>0</v>
      </c>
      <c r="Y73">
        <f t="shared" si="12"/>
        <v>0</v>
      </c>
      <c r="Z73">
        <f t="shared" si="12"/>
        <v>6.1</v>
      </c>
    </row>
    <row r="74" spans="1:26" x14ac:dyDescent="0.25">
      <c r="A74">
        <v>73</v>
      </c>
      <c r="B74">
        <v>6.3</v>
      </c>
      <c r="C74">
        <v>2.5</v>
      </c>
      <c r="D74">
        <v>4.9000000000000004</v>
      </c>
      <c r="E74">
        <v>1.5</v>
      </c>
      <c r="F74" t="s">
        <v>8</v>
      </c>
      <c r="G74">
        <v>2</v>
      </c>
      <c r="H74">
        <v>3</v>
      </c>
      <c r="X74">
        <f t="shared" si="12"/>
        <v>0</v>
      </c>
      <c r="Y74">
        <f t="shared" si="12"/>
        <v>0</v>
      </c>
      <c r="Z74">
        <f t="shared" si="12"/>
        <v>6.3</v>
      </c>
    </row>
    <row r="75" spans="1:26" x14ac:dyDescent="0.25">
      <c r="A75">
        <v>74</v>
      </c>
      <c r="B75">
        <v>6.1</v>
      </c>
      <c r="C75">
        <v>2.8</v>
      </c>
      <c r="D75">
        <v>4.7</v>
      </c>
      <c r="E75">
        <v>1.2</v>
      </c>
      <c r="F75" t="s">
        <v>8</v>
      </c>
      <c r="G75">
        <v>2</v>
      </c>
      <c r="H75">
        <v>3</v>
      </c>
      <c r="X75">
        <f t="shared" si="12"/>
        <v>0</v>
      </c>
      <c r="Y75">
        <f t="shared" si="12"/>
        <v>0</v>
      </c>
      <c r="Z75">
        <f t="shared" si="12"/>
        <v>6.1</v>
      </c>
    </row>
    <row r="76" spans="1:26" x14ac:dyDescent="0.25">
      <c r="A76">
        <v>75</v>
      </c>
      <c r="B76">
        <v>6.4</v>
      </c>
      <c r="C76">
        <v>2.9</v>
      </c>
      <c r="D76">
        <v>4.3</v>
      </c>
      <c r="E76">
        <v>1.3</v>
      </c>
      <c r="F76" t="s">
        <v>8</v>
      </c>
      <c r="G76">
        <v>2</v>
      </c>
      <c r="H76">
        <v>3</v>
      </c>
      <c r="X76">
        <f t="shared" si="12"/>
        <v>0</v>
      </c>
      <c r="Y76">
        <f t="shared" si="12"/>
        <v>0</v>
      </c>
      <c r="Z76">
        <f t="shared" si="12"/>
        <v>6.4</v>
      </c>
    </row>
    <row r="77" spans="1:26" x14ac:dyDescent="0.25">
      <c r="A77">
        <v>76</v>
      </c>
      <c r="B77">
        <v>6.6</v>
      </c>
      <c r="C77">
        <v>3</v>
      </c>
      <c r="D77">
        <v>4.4000000000000004</v>
      </c>
      <c r="E77">
        <v>1.4</v>
      </c>
      <c r="F77" t="s">
        <v>8</v>
      </c>
      <c r="G77">
        <v>2</v>
      </c>
      <c r="H77">
        <v>3</v>
      </c>
      <c r="X77">
        <f t="shared" si="12"/>
        <v>0</v>
      </c>
      <c r="Y77">
        <f t="shared" si="12"/>
        <v>0</v>
      </c>
      <c r="Z77">
        <f t="shared" si="12"/>
        <v>6.6</v>
      </c>
    </row>
    <row r="78" spans="1:26" x14ac:dyDescent="0.25">
      <c r="A78">
        <v>77</v>
      </c>
      <c r="B78">
        <v>6.8</v>
      </c>
      <c r="C78">
        <v>2.8</v>
      </c>
      <c r="D78">
        <v>4.8</v>
      </c>
      <c r="E78">
        <v>1.4</v>
      </c>
      <c r="F78" t="s">
        <v>8</v>
      </c>
      <c r="G78">
        <v>2</v>
      </c>
      <c r="H78">
        <v>3</v>
      </c>
      <c r="X78">
        <f t="shared" si="12"/>
        <v>0</v>
      </c>
      <c r="Y78">
        <f t="shared" si="12"/>
        <v>0</v>
      </c>
      <c r="Z78">
        <f t="shared" si="12"/>
        <v>6.8</v>
      </c>
    </row>
    <row r="79" spans="1:26" x14ac:dyDescent="0.25">
      <c r="A79">
        <v>78</v>
      </c>
      <c r="B79">
        <v>6.7</v>
      </c>
      <c r="C79">
        <v>3</v>
      </c>
      <c r="D79">
        <v>5</v>
      </c>
      <c r="E79">
        <v>1.7</v>
      </c>
      <c r="F79" t="s">
        <v>8</v>
      </c>
      <c r="G79">
        <v>2</v>
      </c>
      <c r="H79">
        <v>3</v>
      </c>
      <c r="X79">
        <f t="shared" si="12"/>
        <v>0</v>
      </c>
      <c r="Y79">
        <f t="shared" si="12"/>
        <v>0</v>
      </c>
      <c r="Z79">
        <f t="shared" si="12"/>
        <v>6.7</v>
      </c>
    </row>
    <row r="80" spans="1:26" x14ac:dyDescent="0.25">
      <c r="A80">
        <v>79</v>
      </c>
      <c r="B80">
        <v>6</v>
      </c>
      <c r="C80">
        <v>2.9</v>
      </c>
      <c r="D80">
        <v>4.5</v>
      </c>
      <c r="E80">
        <v>1.5</v>
      </c>
      <c r="F80" t="s">
        <v>8</v>
      </c>
      <c r="G80">
        <v>2</v>
      </c>
      <c r="H80">
        <v>3</v>
      </c>
      <c r="X80">
        <f t="shared" si="12"/>
        <v>0</v>
      </c>
      <c r="Y80">
        <f t="shared" si="12"/>
        <v>0</v>
      </c>
      <c r="Z80">
        <f t="shared" si="12"/>
        <v>6</v>
      </c>
    </row>
    <row r="81" spans="1:26" x14ac:dyDescent="0.25">
      <c r="A81">
        <v>80</v>
      </c>
      <c r="B81">
        <v>5.7</v>
      </c>
      <c r="C81">
        <v>2.6</v>
      </c>
      <c r="D81">
        <v>3.5</v>
      </c>
      <c r="E81">
        <v>1</v>
      </c>
      <c r="F81" t="s">
        <v>8</v>
      </c>
      <c r="G81">
        <v>2</v>
      </c>
      <c r="H81">
        <v>3</v>
      </c>
      <c r="X81">
        <f t="shared" si="12"/>
        <v>0</v>
      </c>
      <c r="Y81">
        <f t="shared" si="12"/>
        <v>0</v>
      </c>
      <c r="Z81">
        <f t="shared" si="12"/>
        <v>5.7</v>
      </c>
    </row>
    <row r="82" spans="1:26" x14ac:dyDescent="0.25">
      <c r="A82">
        <v>81</v>
      </c>
      <c r="B82">
        <v>5.5</v>
      </c>
      <c r="C82">
        <v>2.4</v>
      </c>
      <c r="D82">
        <v>3.8</v>
      </c>
      <c r="E82">
        <v>1.1000000000000001</v>
      </c>
      <c r="F82" t="s">
        <v>8</v>
      </c>
      <c r="G82">
        <v>2</v>
      </c>
      <c r="H82">
        <v>3</v>
      </c>
      <c r="X82">
        <f t="shared" si="12"/>
        <v>0</v>
      </c>
      <c r="Y82">
        <f t="shared" si="12"/>
        <v>0</v>
      </c>
      <c r="Z82">
        <f t="shared" si="12"/>
        <v>5.5</v>
      </c>
    </row>
    <row r="83" spans="1:26" x14ac:dyDescent="0.25">
      <c r="A83">
        <v>82</v>
      </c>
      <c r="B83">
        <v>5.5</v>
      </c>
      <c r="C83">
        <v>2.4</v>
      </c>
      <c r="D83">
        <v>3.7</v>
      </c>
      <c r="E83">
        <v>1</v>
      </c>
      <c r="F83" t="s">
        <v>8</v>
      </c>
      <c r="G83">
        <v>2</v>
      </c>
      <c r="H83">
        <v>3</v>
      </c>
      <c r="X83">
        <f t="shared" si="12"/>
        <v>0</v>
      </c>
      <c r="Y83">
        <f t="shared" si="12"/>
        <v>0</v>
      </c>
      <c r="Z83">
        <f t="shared" si="12"/>
        <v>5.5</v>
      </c>
    </row>
    <row r="84" spans="1:26" x14ac:dyDescent="0.25">
      <c r="A84">
        <v>83</v>
      </c>
      <c r="B84">
        <v>5.8</v>
      </c>
      <c r="C84">
        <v>2.7</v>
      </c>
      <c r="D84">
        <v>3.9</v>
      </c>
      <c r="E84">
        <v>1.2</v>
      </c>
      <c r="F84" t="s">
        <v>8</v>
      </c>
      <c r="G84">
        <v>2</v>
      </c>
      <c r="H84">
        <v>3</v>
      </c>
      <c r="X84">
        <f t="shared" si="12"/>
        <v>0</v>
      </c>
      <c r="Y84">
        <f t="shared" si="12"/>
        <v>0</v>
      </c>
      <c r="Z84">
        <f t="shared" si="12"/>
        <v>5.8</v>
      </c>
    </row>
    <row r="85" spans="1:26" x14ac:dyDescent="0.25">
      <c r="A85">
        <v>84</v>
      </c>
      <c r="B85">
        <v>6</v>
      </c>
      <c r="C85">
        <v>2.7</v>
      </c>
      <c r="D85">
        <v>5.0999999999999996</v>
      </c>
      <c r="E85">
        <v>1.6</v>
      </c>
      <c r="F85" t="s">
        <v>8</v>
      </c>
      <c r="G85">
        <v>2</v>
      </c>
      <c r="H85">
        <v>3</v>
      </c>
      <c r="X85">
        <f t="shared" si="12"/>
        <v>0</v>
      </c>
      <c r="Y85">
        <f t="shared" si="12"/>
        <v>0</v>
      </c>
      <c r="Z85">
        <f t="shared" si="12"/>
        <v>6</v>
      </c>
    </row>
    <row r="86" spans="1:26" x14ac:dyDescent="0.25">
      <c r="A86">
        <v>85</v>
      </c>
      <c r="B86">
        <v>5.4</v>
      </c>
      <c r="C86">
        <v>3</v>
      </c>
      <c r="D86">
        <v>4.5</v>
      </c>
      <c r="E86">
        <v>1.5</v>
      </c>
      <c r="F86" t="s">
        <v>8</v>
      </c>
      <c r="G86">
        <v>2</v>
      </c>
      <c r="H86">
        <v>3</v>
      </c>
      <c r="X86">
        <f t="shared" si="12"/>
        <v>0</v>
      </c>
      <c r="Y86">
        <f t="shared" si="12"/>
        <v>0</v>
      </c>
      <c r="Z86">
        <f t="shared" si="12"/>
        <v>5.4</v>
      </c>
    </row>
    <row r="87" spans="1:26" x14ac:dyDescent="0.25">
      <c r="A87">
        <v>86</v>
      </c>
      <c r="B87">
        <v>6</v>
      </c>
      <c r="C87">
        <v>3.4</v>
      </c>
      <c r="D87">
        <v>4.5</v>
      </c>
      <c r="E87">
        <v>1.6</v>
      </c>
      <c r="F87" t="s">
        <v>8</v>
      </c>
      <c r="G87">
        <v>2</v>
      </c>
      <c r="H87">
        <v>3</v>
      </c>
      <c r="X87">
        <f t="shared" si="12"/>
        <v>0</v>
      </c>
      <c r="Y87">
        <f t="shared" si="12"/>
        <v>0</v>
      </c>
      <c r="Z87">
        <f t="shared" si="12"/>
        <v>6</v>
      </c>
    </row>
    <row r="88" spans="1:26" x14ac:dyDescent="0.25">
      <c r="A88">
        <v>87</v>
      </c>
      <c r="B88">
        <v>6.7</v>
      </c>
      <c r="C88">
        <v>3.1</v>
      </c>
      <c r="D88">
        <v>4.7</v>
      </c>
      <c r="E88">
        <v>1.5</v>
      </c>
      <c r="F88" t="s">
        <v>8</v>
      </c>
      <c r="G88">
        <v>2</v>
      </c>
      <c r="H88">
        <v>3</v>
      </c>
      <c r="X88">
        <f t="shared" si="12"/>
        <v>0</v>
      </c>
      <c r="Y88">
        <f t="shared" si="12"/>
        <v>0</v>
      </c>
      <c r="Z88">
        <f t="shared" si="12"/>
        <v>6.7</v>
      </c>
    </row>
    <row r="89" spans="1:26" x14ac:dyDescent="0.25">
      <c r="A89">
        <v>88</v>
      </c>
      <c r="B89">
        <v>6.3</v>
      </c>
      <c r="C89">
        <v>2.2999999999999998</v>
      </c>
      <c r="D89">
        <v>4.4000000000000004</v>
      </c>
      <c r="E89">
        <v>1.3</v>
      </c>
      <c r="F89" t="s">
        <v>8</v>
      </c>
      <c r="G89">
        <v>2</v>
      </c>
      <c r="H89">
        <v>3</v>
      </c>
      <c r="X89">
        <f t="shared" si="12"/>
        <v>0</v>
      </c>
      <c r="Y89">
        <f t="shared" si="12"/>
        <v>0</v>
      </c>
      <c r="Z89">
        <f t="shared" si="12"/>
        <v>6.3</v>
      </c>
    </row>
    <row r="90" spans="1:26" x14ac:dyDescent="0.25">
      <c r="A90">
        <v>89</v>
      </c>
      <c r="B90">
        <v>5.6</v>
      </c>
      <c r="C90">
        <v>3</v>
      </c>
      <c r="D90">
        <v>4.0999999999999996</v>
      </c>
      <c r="E90">
        <v>1.3</v>
      </c>
      <c r="F90" t="s">
        <v>8</v>
      </c>
      <c r="G90">
        <v>2</v>
      </c>
      <c r="H90">
        <v>3</v>
      </c>
      <c r="X90">
        <f t="shared" si="12"/>
        <v>0</v>
      </c>
      <c r="Y90">
        <f t="shared" si="12"/>
        <v>0</v>
      </c>
      <c r="Z90">
        <f t="shared" si="12"/>
        <v>5.6</v>
      </c>
    </row>
    <row r="91" spans="1:26" x14ac:dyDescent="0.25">
      <c r="A91">
        <v>90</v>
      </c>
      <c r="B91">
        <v>5.5</v>
      </c>
      <c r="C91">
        <v>2.5</v>
      </c>
      <c r="D91">
        <v>4</v>
      </c>
      <c r="E91">
        <v>1.3</v>
      </c>
      <c r="F91" t="s">
        <v>8</v>
      </c>
      <c r="G91">
        <v>2</v>
      </c>
      <c r="H91">
        <v>3</v>
      </c>
      <c r="X91">
        <f t="shared" si="12"/>
        <v>0</v>
      </c>
      <c r="Y91">
        <f t="shared" si="12"/>
        <v>0</v>
      </c>
      <c r="Z91">
        <f t="shared" si="12"/>
        <v>5.5</v>
      </c>
    </row>
    <row r="92" spans="1:26" x14ac:dyDescent="0.25">
      <c r="A92">
        <v>91</v>
      </c>
      <c r="B92">
        <v>5.5</v>
      </c>
      <c r="C92">
        <v>2.6</v>
      </c>
      <c r="D92">
        <v>4.4000000000000004</v>
      </c>
      <c r="E92">
        <v>1.2</v>
      </c>
      <c r="F92" t="s">
        <v>8</v>
      </c>
      <c r="G92">
        <v>2</v>
      </c>
      <c r="H92">
        <v>3</v>
      </c>
      <c r="X92">
        <f t="shared" si="12"/>
        <v>0</v>
      </c>
      <c r="Y92">
        <f t="shared" si="12"/>
        <v>0</v>
      </c>
      <c r="Z92">
        <f t="shared" si="12"/>
        <v>5.5</v>
      </c>
    </row>
    <row r="93" spans="1:26" x14ac:dyDescent="0.25">
      <c r="A93">
        <v>92</v>
      </c>
      <c r="B93">
        <v>6.1</v>
      </c>
      <c r="C93">
        <v>3</v>
      </c>
      <c r="D93">
        <v>4.5999999999999996</v>
      </c>
      <c r="E93">
        <v>1.4</v>
      </c>
      <c r="F93" t="s">
        <v>8</v>
      </c>
      <c r="G93">
        <v>2</v>
      </c>
      <c r="H93">
        <v>3</v>
      </c>
      <c r="X93">
        <f t="shared" si="12"/>
        <v>0</v>
      </c>
      <c r="Y93">
        <f t="shared" si="12"/>
        <v>0</v>
      </c>
      <c r="Z93">
        <f t="shared" si="12"/>
        <v>6.1</v>
      </c>
    </row>
    <row r="94" spans="1:26" x14ac:dyDescent="0.25">
      <c r="A94">
        <v>93</v>
      </c>
      <c r="B94">
        <v>5.8</v>
      </c>
      <c r="C94">
        <v>2.6</v>
      </c>
      <c r="D94">
        <v>4</v>
      </c>
      <c r="E94">
        <v>1.2</v>
      </c>
      <c r="F94" t="s">
        <v>8</v>
      </c>
      <c r="G94">
        <v>2</v>
      </c>
      <c r="H94">
        <v>3</v>
      </c>
      <c r="X94">
        <f t="shared" si="12"/>
        <v>0</v>
      </c>
      <c r="Y94">
        <f t="shared" si="12"/>
        <v>0</v>
      </c>
      <c r="Z94">
        <f t="shared" si="12"/>
        <v>5.8</v>
      </c>
    </row>
    <row r="95" spans="1:26" x14ac:dyDescent="0.25">
      <c r="A95">
        <v>94</v>
      </c>
      <c r="B95">
        <v>5</v>
      </c>
      <c r="C95">
        <v>2.2999999999999998</v>
      </c>
      <c r="D95">
        <v>3.3</v>
      </c>
      <c r="E95">
        <v>1</v>
      </c>
      <c r="F95" t="s">
        <v>8</v>
      </c>
      <c r="G95">
        <v>2</v>
      </c>
      <c r="H95">
        <v>2</v>
      </c>
      <c r="X95">
        <f t="shared" si="12"/>
        <v>0</v>
      </c>
      <c r="Y95">
        <f t="shared" si="12"/>
        <v>5</v>
      </c>
      <c r="Z95">
        <f t="shared" si="12"/>
        <v>0</v>
      </c>
    </row>
    <row r="96" spans="1:26" x14ac:dyDescent="0.25">
      <c r="A96">
        <v>95</v>
      </c>
      <c r="B96">
        <v>5.6</v>
      </c>
      <c r="C96">
        <v>2.7</v>
      </c>
      <c r="D96">
        <v>4.2</v>
      </c>
      <c r="E96">
        <v>1.3</v>
      </c>
      <c r="F96" t="s">
        <v>8</v>
      </c>
      <c r="G96">
        <v>2</v>
      </c>
      <c r="H96">
        <v>3</v>
      </c>
      <c r="X96">
        <f t="shared" si="12"/>
        <v>0</v>
      </c>
      <c r="Y96">
        <f t="shared" si="12"/>
        <v>0</v>
      </c>
      <c r="Z96">
        <f t="shared" si="12"/>
        <v>5.6</v>
      </c>
    </row>
    <row r="97" spans="1:26" x14ac:dyDescent="0.25">
      <c r="A97">
        <v>96</v>
      </c>
      <c r="B97">
        <v>5.7</v>
      </c>
      <c r="C97">
        <v>3</v>
      </c>
      <c r="D97">
        <v>4.2</v>
      </c>
      <c r="E97">
        <v>1.2</v>
      </c>
      <c r="F97" t="s">
        <v>8</v>
      </c>
      <c r="G97">
        <v>2</v>
      </c>
      <c r="H97">
        <v>3</v>
      </c>
      <c r="X97">
        <f t="shared" si="12"/>
        <v>0</v>
      </c>
      <c r="Y97">
        <f t="shared" si="12"/>
        <v>0</v>
      </c>
      <c r="Z97">
        <f t="shared" si="12"/>
        <v>5.7</v>
      </c>
    </row>
    <row r="98" spans="1:26" x14ac:dyDescent="0.25">
      <c r="A98">
        <v>97</v>
      </c>
      <c r="B98">
        <v>5.7</v>
      </c>
      <c r="C98">
        <v>2.9</v>
      </c>
      <c r="D98">
        <v>4.2</v>
      </c>
      <c r="E98">
        <v>1.3</v>
      </c>
      <c r="F98" t="s">
        <v>8</v>
      </c>
      <c r="G98">
        <v>2</v>
      </c>
      <c r="H98">
        <v>3</v>
      </c>
      <c r="X98">
        <f t="shared" si="12"/>
        <v>0</v>
      </c>
      <c r="Y98">
        <f t="shared" si="12"/>
        <v>0</v>
      </c>
      <c r="Z98">
        <f t="shared" si="12"/>
        <v>5.7</v>
      </c>
    </row>
    <row r="99" spans="1:26" x14ac:dyDescent="0.25">
      <c r="A99">
        <v>98</v>
      </c>
      <c r="B99">
        <v>6.2</v>
      </c>
      <c r="C99">
        <v>2.9</v>
      </c>
      <c r="D99">
        <v>4.3</v>
      </c>
      <c r="E99">
        <v>1.3</v>
      </c>
      <c r="F99" t="s">
        <v>8</v>
      </c>
      <c r="G99">
        <v>2</v>
      </c>
      <c r="H99">
        <v>3</v>
      </c>
      <c r="X99">
        <f t="shared" ref="X99:Z130" si="13">IF(X$1=$H99,$B99,0)</f>
        <v>0</v>
      </c>
      <c r="Y99">
        <f t="shared" si="13"/>
        <v>0</v>
      </c>
      <c r="Z99">
        <f t="shared" si="13"/>
        <v>6.2</v>
      </c>
    </row>
    <row r="100" spans="1:26" x14ac:dyDescent="0.25">
      <c r="A100">
        <v>99</v>
      </c>
      <c r="B100">
        <v>5.0999999999999996</v>
      </c>
      <c r="C100">
        <v>2.5</v>
      </c>
      <c r="D100">
        <v>3</v>
      </c>
      <c r="E100">
        <v>1.1000000000000001</v>
      </c>
      <c r="F100" t="s">
        <v>8</v>
      </c>
      <c r="G100">
        <v>2</v>
      </c>
      <c r="H100">
        <v>2</v>
      </c>
      <c r="X100">
        <f t="shared" si="13"/>
        <v>0</v>
      </c>
      <c r="Y100">
        <f t="shared" si="13"/>
        <v>5.0999999999999996</v>
      </c>
      <c r="Z100">
        <f t="shared" si="13"/>
        <v>0</v>
      </c>
    </row>
    <row r="101" spans="1:26" x14ac:dyDescent="0.25">
      <c r="A101">
        <v>100</v>
      </c>
      <c r="B101">
        <v>5.7</v>
      </c>
      <c r="C101">
        <v>2.8</v>
      </c>
      <c r="D101">
        <v>4.0999999999999996</v>
      </c>
      <c r="E101">
        <v>1.3</v>
      </c>
      <c r="F101" t="s">
        <v>8</v>
      </c>
      <c r="G101">
        <v>2</v>
      </c>
      <c r="H101">
        <v>3</v>
      </c>
      <c r="X101">
        <f t="shared" si="13"/>
        <v>0</v>
      </c>
      <c r="Y101">
        <f t="shared" si="13"/>
        <v>0</v>
      </c>
      <c r="Z101">
        <f t="shared" si="13"/>
        <v>5.7</v>
      </c>
    </row>
    <row r="102" spans="1:26" x14ac:dyDescent="0.25">
      <c r="A102">
        <v>101</v>
      </c>
      <c r="B102">
        <v>6.3</v>
      </c>
      <c r="C102">
        <v>3.3</v>
      </c>
      <c r="D102">
        <v>6</v>
      </c>
      <c r="E102">
        <v>2.5</v>
      </c>
      <c r="F102" t="s">
        <v>9</v>
      </c>
      <c r="G102">
        <v>3</v>
      </c>
      <c r="H102">
        <v>3</v>
      </c>
      <c r="X102">
        <f t="shared" si="13"/>
        <v>0</v>
      </c>
      <c r="Y102">
        <f t="shared" si="13"/>
        <v>0</v>
      </c>
      <c r="Z102">
        <f t="shared" si="13"/>
        <v>6.3</v>
      </c>
    </row>
    <row r="103" spans="1:26" x14ac:dyDescent="0.25">
      <c r="A103">
        <v>102</v>
      </c>
      <c r="B103">
        <v>5.8</v>
      </c>
      <c r="C103">
        <v>2.7</v>
      </c>
      <c r="D103">
        <v>5.0999999999999996</v>
      </c>
      <c r="E103">
        <v>1.9</v>
      </c>
      <c r="F103" t="s">
        <v>9</v>
      </c>
      <c r="G103">
        <v>3</v>
      </c>
      <c r="H103">
        <v>3</v>
      </c>
      <c r="X103">
        <f t="shared" si="13"/>
        <v>0</v>
      </c>
      <c r="Y103">
        <f t="shared" si="13"/>
        <v>0</v>
      </c>
      <c r="Z103">
        <f t="shared" si="13"/>
        <v>5.8</v>
      </c>
    </row>
    <row r="104" spans="1:26" x14ac:dyDescent="0.25">
      <c r="A104">
        <v>103</v>
      </c>
      <c r="B104">
        <v>7.1</v>
      </c>
      <c r="C104">
        <v>3</v>
      </c>
      <c r="D104">
        <v>5.9</v>
      </c>
      <c r="E104">
        <v>2.1</v>
      </c>
      <c r="F104" t="s">
        <v>9</v>
      </c>
      <c r="G104">
        <v>3</v>
      </c>
      <c r="H104">
        <v>3</v>
      </c>
      <c r="X104">
        <f t="shared" si="13"/>
        <v>0</v>
      </c>
      <c r="Y104">
        <f t="shared" si="13"/>
        <v>0</v>
      </c>
      <c r="Z104">
        <f t="shared" si="13"/>
        <v>7.1</v>
      </c>
    </row>
    <row r="105" spans="1:26" x14ac:dyDescent="0.25">
      <c r="A105">
        <v>104</v>
      </c>
      <c r="B105">
        <v>6.3</v>
      </c>
      <c r="C105">
        <v>2.9</v>
      </c>
      <c r="D105">
        <v>5.6</v>
      </c>
      <c r="E105">
        <v>1.8</v>
      </c>
      <c r="F105" t="s">
        <v>9</v>
      </c>
      <c r="G105">
        <v>3</v>
      </c>
      <c r="H105">
        <v>3</v>
      </c>
      <c r="X105">
        <f t="shared" si="13"/>
        <v>0</v>
      </c>
      <c r="Y105">
        <f t="shared" si="13"/>
        <v>0</v>
      </c>
      <c r="Z105">
        <f t="shared" si="13"/>
        <v>6.3</v>
      </c>
    </row>
    <row r="106" spans="1:26" x14ac:dyDescent="0.25">
      <c r="A106">
        <v>105</v>
      </c>
      <c r="B106">
        <v>6.5</v>
      </c>
      <c r="C106">
        <v>3</v>
      </c>
      <c r="D106">
        <v>5.8</v>
      </c>
      <c r="E106">
        <v>2.2000000000000002</v>
      </c>
      <c r="F106" t="s">
        <v>9</v>
      </c>
      <c r="G106">
        <v>3</v>
      </c>
      <c r="H106">
        <v>3</v>
      </c>
      <c r="X106">
        <f t="shared" si="13"/>
        <v>0</v>
      </c>
      <c r="Y106">
        <f t="shared" si="13"/>
        <v>0</v>
      </c>
      <c r="Z106">
        <f t="shared" si="13"/>
        <v>6.5</v>
      </c>
    </row>
    <row r="107" spans="1:26" x14ac:dyDescent="0.25">
      <c r="A107">
        <v>106</v>
      </c>
      <c r="B107">
        <v>7.6</v>
      </c>
      <c r="C107">
        <v>3</v>
      </c>
      <c r="D107">
        <v>6.6</v>
      </c>
      <c r="E107">
        <v>2.1</v>
      </c>
      <c r="F107" t="s">
        <v>9</v>
      </c>
      <c r="G107">
        <v>3</v>
      </c>
      <c r="H107">
        <v>3</v>
      </c>
      <c r="X107">
        <f t="shared" si="13"/>
        <v>0</v>
      </c>
      <c r="Y107">
        <f t="shared" si="13"/>
        <v>0</v>
      </c>
      <c r="Z107">
        <f t="shared" si="13"/>
        <v>7.6</v>
      </c>
    </row>
    <row r="108" spans="1:26" x14ac:dyDescent="0.25">
      <c r="A108">
        <v>107</v>
      </c>
      <c r="B108">
        <v>4.9000000000000004</v>
      </c>
      <c r="C108">
        <v>2.5</v>
      </c>
      <c r="D108">
        <v>4.5</v>
      </c>
      <c r="E108">
        <v>1.7</v>
      </c>
      <c r="F108" t="s">
        <v>9</v>
      </c>
      <c r="G108">
        <v>3</v>
      </c>
      <c r="H108">
        <v>3</v>
      </c>
      <c r="X108">
        <f t="shared" si="13"/>
        <v>0</v>
      </c>
      <c r="Y108">
        <f t="shared" si="13"/>
        <v>0</v>
      </c>
      <c r="Z108">
        <f t="shared" si="13"/>
        <v>4.9000000000000004</v>
      </c>
    </row>
    <row r="109" spans="1:26" x14ac:dyDescent="0.25">
      <c r="A109">
        <v>108</v>
      </c>
      <c r="B109">
        <v>7.3</v>
      </c>
      <c r="C109">
        <v>2.9</v>
      </c>
      <c r="D109">
        <v>6.3</v>
      </c>
      <c r="E109">
        <v>1.8</v>
      </c>
      <c r="F109" t="s">
        <v>9</v>
      </c>
      <c r="G109">
        <v>3</v>
      </c>
      <c r="H109">
        <v>3</v>
      </c>
      <c r="X109">
        <f t="shared" si="13"/>
        <v>0</v>
      </c>
      <c r="Y109">
        <f t="shared" si="13"/>
        <v>0</v>
      </c>
      <c r="Z109">
        <f t="shared" si="13"/>
        <v>7.3</v>
      </c>
    </row>
    <row r="110" spans="1:26" x14ac:dyDescent="0.25">
      <c r="A110">
        <v>109</v>
      </c>
      <c r="B110">
        <v>6.7</v>
      </c>
      <c r="C110">
        <v>2.5</v>
      </c>
      <c r="D110">
        <v>5.8</v>
      </c>
      <c r="E110">
        <v>1.8</v>
      </c>
      <c r="F110" t="s">
        <v>9</v>
      </c>
      <c r="G110">
        <v>3</v>
      </c>
      <c r="H110">
        <v>3</v>
      </c>
      <c r="X110">
        <f t="shared" si="13"/>
        <v>0</v>
      </c>
      <c r="Y110">
        <f t="shared" si="13"/>
        <v>0</v>
      </c>
      <c r="Z110">
        <f t="shared" si="13"/>
        <v>6.7</v>
      </c>
    </row>
    <row r="111" spans="1:26" x14ac:dyDescent="0.25">
      <c r="A111">
        <v>110</v>
      </c>
      <c r="B111">
        <v>7.2</v>
      </c>
      <c r="C111">
        <v>3.6</v>
      </c>
      <c r="D111">
        <v>6.1</v>
      </c>
      <c r="E111">
        <v>2.5</v>
      </c>
      <c r="F111" t="s">
        <v>9</v>
      </c>
      <c r="G111">
        <v>3</v>
      </c>
      <c r="H111">
        <v>3</v>
      </c>
      <c r="X111">
        <f t="shared" si="13"/>
        <v>0</v>
      </c>
      <c r="Y111">
        <f t="shared" si="13"/>
        <v>0</v>
      </c>
      <c r="Z111">
        <f t="shared" si="13"/>
        <v>7.2</v>
      </c>
    </row>
    <row r="112" spans="1:26" x14ac:dyDescent="0.25">
      <c r="A112">
        <v>111</v>
      </c>
      <c r="B112">
        <v>6.5</v>
      </c>
      <c r="C112">
        <v>3.2</v>
      </c>
      <c r="D112">
        <v>5.0999999999999996</v>
      </c>
      <c r="E112">
        <v>2</v>
      </c>
      <c r="F112" t="s">
        <v>9</v>
      </c>
      <c r="G112">
        <v>3</v>
      </c>
      <c r="H112">
        <v>3</v>
      </c>
      <c r="X112">
        <f t="shared" si="13"/>
        <v>0</v>
      </c>
      <c r="Y112">
        <f t="shared" si="13"/>
        <v>0</v>
      </c>
      <c r="Z112">
        <f t="shared" si="13"/>
        <v>6.5</v>
      </c>
    </row>
    <row r="113" spans="1:26" x14ac:dyDescent="0.25">
      <c r="A113">
        <v>112</v>
      </c>
      <c r="B113">
        <v>6.4</v>
      </c>
      <c r="C113">
        <v>2.7</v>
      </c>
      <c r="D113">
        <v>5.3</v>
      </c>
      <c r="E113">
        <v>1.9</v>
      </c>
      <c r="F113" t="s">
        <v>9</v>
      </c>
      <c r="G113">
        <v>3</v>
      </c>
      <c r="H113">
        <v>3</v>
      </c>
      <c r="X113">
        <f t="shared" si="13"/>
        <v>0</v>
      </c>
      <c r="Y113">
        <f t="shared" si="13"/>
        <v>0</v>
      </c>
      <c r="Z113">
        <f t="shared" si="13"/>
        <v>6.4</v>
      </c>
    </row>
    <row r="114" spans="1:26" x14ac:dyDescent="0.25">
      <c r="A114">
        <v>113</v>
      </c>
      <c r="B114">
        <v>6.8</v>
      </c>
      <c r="C114">
        <v>3</v>
      </c>
      <c r="D114">
        <v>5.5</v>
      </c>
      <c r="E114">
        <v>2.1</v>
      </c>
      <c r="F114" t="s">
        <v>9</v>
      </c>
      <c r="G114">
        <v>3</v>
      </c>
      <c r="H114">
        <v>3</v>
      </c>
      <c r="X114">
        <f t="shared" si="13"/>
        <v>0</v>
      </c>
      <c r="Y114">
        <f t="shared" si="13"/>
        <v>0</v>
      </c>
      <c r="Z114">
        <f t="shared" si="13"/>
        <v>6.8</v>
      </c>
    </row>
    <row r="115" spans="1:26" x14ac:dyDescent="0.25">
      <c r="A115">
        <v>114</v>
      </c>
      <c r="B115">
        <v>5.7</v>
      </c>
      <c r="C115">
        <v>2.5</v>
      </c>
      <c r="D115">
        <v>5</v>
      </c>
      <c r="E115">
        <v>2</v>
      </c>
      <c r="F115" t="s">
        <v>9</v>
      </c>
      <c r="G115">
        <v>3</v>
      </c>
      <c r="H115">
        <v>3</v>
      </c>
      <c r="X115">
        <f t="shared" si="13"/>
        <v>0</v>
      </c>
      <c r="Y115">
        <f t="shared" si="13"/>
        <v>0</v>
      </c>
      <c r="Z115">
        <f t="shared" si="13"/>
        <v>5.7</v>
      </c>
    </row>
    <row r="116" spans="1:26" x14ac:dyDescent="0.25">
      <c r="A116">
        <v>115</v>
      </c>
      <c r="B116">
        <v>5.8</v>
      </c>
      <c r="C116">
        <v>2.8</v>
      </c>
      <c r="D116">
        <v>5.0999999999999996</v>
      </c>
      <c r="E116">
        <v>2.4</v>
      </c>
      <c r="F116" t="s">
        <v>9</v>
      </c>
      <c r="G116">
        <v>3</v>
      </c>
      <c r="H116">
        <v>3</v>
      </c>
      <c r="X116">
        <f t="shared" si="13"/>
        <v>0</v>
      </c>
      <c r="Y116">
        <f t="shared" si="13"/>
        <v>0</v>
      </c>
      <c r="Z116">
        <f t="shared" si="13"/>
        <v>5.8</v>
      </c>
    </row>
    <row r="117" spans="1:26" x14ac:dyDescent="0.25">
      <c r="A117">
        <v>116</v>
      </c>
      <c r="B117">
        <v>6.4</v>
      </c>
      <c r="C117">
        <v>3.2</v>
      </c>
      <c r="D117">
        <v>5.3</v>
      </c>
      <c r="E117">
        <v>2.2999999999999998</v>
      </c>
      <c r="F117" t="s">
        <v>9</v>
      </c>
      <c r="G117">
        <v>3</v>
      </c>
      <c r="H117">
        <v>3</v>
      </c>
      <c r="X117">
        <f t="shared" si="13"/>
        <v>0</v>
      </c>
      <c r="Y117">
        <f t="shared" si="13"/>
        <v>0</v>
      </c>
      <c r="Z117">
        <f t="shared" si="13"/>
        <v>6.4</v>
      </c>
    </row>
    <row r="118" spans="1:26" x14ac:dyDescent="0.25">
      <c r="A118">
        <v>117</v>
      </c>
      <c r="B118">
        <v>6.5</v>
      </c>
      <c r="C118">
        <v>3</v>
      </c>
      <c r="D118">
        <v>5.5</v>
      </c>
      <c r="E118">
        <v>1.8</v>
      </c>
      <c r="F118" t="s">
        <v>9</v>
      </c>
      <c r="G118">
        <v>3</v>
      </c>
      <c r="H118">
        <v>3</v>
      </c>
      <c r="X118">
        <f t="shared" si="13"/>
        <v>0</v>
      </c>
      <c r="Y118">
        <f t="shared" si="13"/>
        <v>0</v>
      </c>
      <c r="Z118">
        <f t="shared" si="13"/>
        <v>6.5</v>
      </c>
    </row>
    <row r="119" spans="1:26" x14ac:dyDescent="0.25">
      <c r="A119">
        <v>118</v>
      </c>
      <c r="B119">
        <v>7.7</v>
      </c>
      <c r="C119">
        <v>3.8</v>
      </c>
      <c r="D119">
        <v>6.7</v>
      </c>
      <c r="E119">
        <v>2.2000000000000002</v>
      </c>
      <c r="F119" t="s">
        <v>9</v>
      </c>
      <c r="G119">
        <v>3</v>
      </c>
      <c r="H119">
        <v>3</v>
      </c>
      <c r="X119">
        <f t="shared" si="13"/>
        <v>0</v>
      </c>
      <c r="Y119">
        <f t="shared" si="13"/>
        <v>0</v>
      </c>
      <c r="Z119">
        <f t="shared" si="13"/>
        <v>7.7</v>
      </c>
    </row>
    <row r="120" spans="1:26" x14ac:dyDescent="0.25">
      <c r="A120">
        <v>119</v>
      </c>
      <c r="B120">
        <v>7.7</v>
      </c>
      <c r="C120">
        <v>2.6</v>
      </c>
      <c r="D120">
        <v>6.9</v>
      </c>
      <c r="E120">
        <v>2.2999999999999998</v>
      </c>
      <c r="F120" t="s">
        <v>9</v>
      </c>
      <c r="G120">
        <v>3</v>
      </c>
      <c r="H120">
        <v>3</v>
      </c>
      <c r="X120">
        <f t="shared" si="13"/>
        <v>0</v>
      </c>
      <c r="Y120">
        <f t="shared" si="13"/>
        <v>0</v>
      </c>
      <c r="Z120">
        <f t="shared" si="13"/>
        <v>7.7</v>
      </c>
    </row>
    <row r="121" spans="1:26" x14ac:dyDescent="0.25">
      <c r="A121">
        <v>120</v>
      </c>
      <c r="B121">
        <v>6</v>
      </c>
      <c r="C121">
        <v>2.2000000000000002</v>
      </c>
      <c r="D121">
        <v>5</v>
      </c>
      <c r="E121">
        <v>1.5</v>
      </c>
      <c r="F121" t="s">
        <v>9</v>
      </c>
      <c r="G121">
        <v>3</v>
      </c>
      <c r="H121">
        <v>3</v>
      </c>
      <c r="X121">
        <f t="shared" si="13"/>
        <v>0</v>
      </c>
      <c r="Y121">
        <f t="shared" si="13"/>
        <v>0</v>
      </c>
      <c r="Z121">
        <f t="shared" si="13"/>
        <v>6</v>
      </c>
    </row>
    <row r="122" spans="1:26" x14ac:dyDescent="0.25">
      <c r="A122">
        <v>121</v>
      </c>
      <c r="B122">
        <v>6.9</v>
      </c>
      <c r="C122">
        <v>3.2</v>
      </c>
      <c r="D122">
        <v>5.7</v>
      </c>
      <c r="E122">
        <v>2.2999999999999998</v>
      </c>
      <c r="F122" t="s">
        <v>9</v>
      </c>
      <c r="G122">
        <v>3</v>
      </c>
      <c r="H122">
        <v>3</v>
      </c>
      <c r="X122">
        <f t="shared" si="13"/>
        <v>0</v>
      </c>
      <c r="Y122">
        <f t="shared" si="13"/>
        <v>0</v>
      </c>
      <c r="Z122">
        <f t="shared" si="13"/>
        <v>6.9</v>
      </c>
    </row>
    <row r="123" spans="1:26" x14ac:dyDescent="0.25">
      <c r="A123">
        <v>122</v>
      </c>
      <c r="B123">
        <v>5.6</v>
      </c>
      <c r="C123">
        <v>2.8</v>
      </c>
      <c r="D123">
        <v>4.9000000000000004</v>
      </c>
      <c r="E123">
        <v>2</v>
      </c>
      <c r="F123" t="s">
        <v>9</v>
      </c>
      <c r="G123">
        <v>3</v>
      </c>
      <c r="H123">
        <v>3</v>
      </c>
      <c r="X123">
        <f t="shared" si="13"/>
        <v>0</v>
      </c>
      <c r="Y123">
        <f t="shared" si="13"/>
        <v>0</v>
      </c>
      <c r="Z123">
        <f t="shared" si="13"/>
        <v>5.6</v>
      </c>
    </row>
    <row r="124" spans="1:26" x14ac:dyDescent="0.25">
      <c r="A124">
        <v>123</v>
      </c>
      <c r="B124">
        <v>7.7</v>
      </c>
      <c r="C124">
        <v>2.8</v>
      </c>
      <c r="D124">
        <v>6.7</v>
      </c>
      <c r="E124">
        <v>2</v>
      </c>
      <c r="F124" t="s">
        <v>9</v>
      </c>
      <c r="G124">
        <v>3</v>
      </c>
      <c r="H124">
        <v>3</v>
      </c>
      <c r="X124">
        <f t="shared" si="13"/>
        <v>0</v>
      </c>
      <c r="Y124">
        <f t="shared" si="13"/>
        <v>0</v>
      </c>
      <c r="Z124">
        <f t="shared" si="13"/>
        <v>7.7</v>
      </c>
    </row>
    <row r="125" spans="1:26" x14ac:dyDescent="0.25">
      <c r="A125">
        <v>124</v>
      </c>
      <c r="B125">
        <v>6.3</v>
      </c>
      <c r="C125">
        <v>2.7</v>
      </c>
      <c r="D125">
        <v>4.9000000000000004</v>
      </c>
      <c r="E125">
        <v>1.8</v>
      </c>
      <c r="F125" t="s">
        <v>9</v>
      </c>
      <c r="G125">
        <v>3</v>
      </c>
      <c r="H125">
        <v>3</v>
      </c>
      <c r="X125">
        <f t="shared" si="13"/>
        <v>0</v>
      </c>
      <c r="Y125">
        <f t="shared" si="13"/>
        <v>0</v>
      </c>
      <c r="Z125">
        <f t="shared" si="13"/>
        <v>6.3</v>
      </c>
    </row>
    <row r="126" spans="1:26" x14ac:dyDescent="0.25">
      <c r="A126">
        <v>125</v>
      </c>
      <c r="B126">
        <v>6.7</v>
      </c>
      <c r="C126">
        <v>3.3</v>
      </c>
      <c r="D126">
        <v>5.7</v>
      </c>
      <c r="E126">
        <v>2.1</v>
      </c>
      <c r="F126" t="s">
        <v>9</v>
      </c>
      <c r="G126">
        <v>3</v>
      </c>
      <c r="H126">
        <v>3</v>
      </c>
      <c r="X126">
        <f t="shared" si="13"/>
        <v>0</v>
      </c>
      <c r="Y126">
        <f t="shared" si="13"/>
        <v>0</v>
      </c>
      <c r="Z126">
        <f t="shared" si="13"/>
        <v>6.7</v>
      </c>
    </row>
    <row r="127" spans="1:26" x14ac:dyDescent="0.25">
      <c r="A127">
        <v>126</v>
      </c>
      <c r="B127">
        <v>7.2</v>
      </c>
      <c r="C127">
        <v>3.2</v>
      </c>
      <c r="D127">
        <v>6</v>
      </c>
      <c r="E127">
        <v>1.8</v>
      </c>
      <c r="F127" t="s">
        <v>9</v>
      </c>
      <c r="G127">
        <v>3</v>
      </c>
      <c r="H127">
        <v>3</v>
      </c>
      <c r="X127">
        <f t="shared" si="13"/>
        <v>0</v>
      </c>
      <c r="Y127">
        <f t="shared" si="13"/>
        <v>0</v>
      </c>
      <c r="Z127">
        <f t="shared" si="13"/>
        <v>7.2</v>
      </c>
    </row>
    <row r="128" spans="1:26" x14ac:dyDescent="0.25">
      <c r="A128">
        <v>127</v>
      </c>
      <c r="B128">
        <v>6.2</v>
      </c>
      <c r="C128">
        <v>2.8</v>
      </c>
      <c r="D128">
        <v>4.8</v>
      </c>
      <c r="E128">
        <v>1.8</v>
      </c>
      <c r="F128" t="s">
        <v>9</v>
      </c>
      <c r="G128">
        <v>3</v>
      </c>
      <c r="H128">
        <v>3</v>
      </c>
      <c r="X128">
        <f t="shared" si="13"/>
        <v>0</v>
      </c>
      <c r="Y128">
        <f t="shared" si="13"/>
        <v>0</v>
      </c>
      <c r="Z128">
        <f t="shared" si="13"/>
        <v>6.2</v>
      </c>
    </row>
    <row r="129" spans="1:26" x14ac:dyDescent="0.25">
      <c r="A129">
        <v>128</v>
      </c>
      <c r="B129">
        <v>6.1</v>
      </c>
      <c r="C129">
        <v>3</v>
      </c>
      <c r="D129">
        <v>4.9000000000000004</v>
      </c>
      <c r="E129">
        <v>1.8</v>
      </c>
      <c r="F129" t="s">
        <v>9</v>
      </c>
      <c r="G129">
        <v>3</v>
      </c>
      <c r="H129">
        <v>3</v>
      </c>
      <c r="X129">
        <f t="shared" si="13"/>
        <v>0</v>
      </c>
      <c r="Y129">
        <f t="shared" si="13"/>
        <v>0</v>
      </c>
      <c r="Z129">
        <f t="shared" si="13"/>
        <v>6.1</v>
      </c>
    </row>
    <row r="130" spans="1:26" x14ac:dyDescent="0.25">
      <c r="A130">
        <v>129</v>
      </c>
      <c r="B130">
        <v>6.4</v>
      </c>
      <c r="C130">
        <v>2.8</v>
      </c>
      <c r="D130">
        <v>5.6</v>
      </c>
      <c r="E130">
        <v>2.1</v>
      </c>
      <c r="F130" t="s">
        <v>9</v>
      </c>
      <c r="G130">
        <v>3</v>
      </c>
      <c r="H130">
        <v>3</v>
      </c>
      <c r="X130">
        <f t="shared" si="13"/>
        <v>0</v>
      </c>
      <c r="Y130">
        <f t="shared" si="13"/>
        <v>0</v>
      </c>
      <c r="Z130">
        <f t="shared" si="13"/>
        <v>6.4</v>
      </c>
    </row>
    <row r="131" spans="1:26" x14ac:dyDescent="0.25">
      <c r="A131">
        <v>130</v>
      </c>
      <c r="B131">
        <v>7.2</v>
      </c>
      <c r="C131">
        <v>3</v>
      </c>
      <c r="D131">
        <v>5.8</v>
      </c>
      <c r="E131">
        <v>1.6</v>
      </c>
      <c r="F131" t="s">
        <v>9</v>
      </c>
      <c r="G131">
        <v>3</v>
      </c>
      <c r="H131">
        <v>3</v>
      </c>
      <c r="X131">
        <f t="shared" ref="X131:Z151" si="14">IF(X$1=$H131,$B131,0)</f>
        <v>0</v>
      </c>
      <c r="Y131">
        <f t="shared" si="14"/>
        <v>0</v>
      </c>
      <c r="Z131">
        <f t="shared" si="14"/>
        <v>7.2</v>
      </c>
    </row>
    <row r="132" spans="1:26" x14ac:dyDescent="0.25">
      <c r="A132">
        <v>131</v>
      </c>
      <c r="B132">
        <v>7.4</v>
      </c>
      <c r="C132">
        <v>2.8</v>
      </c>
      <c r="D132">
        <v>6.1</v>
      </c>
      <c r="E132">
        <v>1.9</v>
      </c>
      <c r="F132" t="s">
        <v>9</v>
      </c>
      <c r="G132">
        <v>3</v>
      </c>
      <c r="H132">
        <v>3</v>
      </c>
      <c r="X132">
        <f t="shared" si="14"/>
        <v>0</v>
      </c>
      <c r="Y132">
        <f t="shared" si="14"/>
        <v>0</v>
      </c>
      <c r="Z132">
        <f t="shared" si="14"/>
        <v>7.4</v>
      </c>
    </row>
    <row r="133" spans="1:26" x14ac:dyDescent="0.25">
      <c r="A133">
        <v>132</v>
      </c>
      <c r="B133">
        <v>7.9</v>
      </c>
      <c r="C133">
        <v>3.8</v>
      </c>
      <c r="D133">
        <v>6.4</v>
      </c>
      <c r="E133">
        <v>2</v>
      </c>
      <c r="F133" t="s">
        <v>9</v>
      </c>
      <c r="G133">
        <v>3</v>
      </c>
      <c r="H133">
        <v>3</v>
      </c>
      <c r="X133">
        <f t="shared" si="14"/>
        <v>0</v>
      </c>
      <c r="Y133">
        <f t="shared" si="14"/>
        <v>0</v>
      </c>
      <c r="Z133">
        <f t="shared" si="14"/>
        <v>7.9</v>
      </c>
    </row>
    <row r="134" spans="1:26" x14ac:dyDescent="0.25">
      <c r="A134">
        <v>133</v>
      </c>
      <c r="B134">
        <v>6.4</v>
      </c>
      <c r="C134">
        <v>2.8</v>
      </c>
      <c r="D134">
        <v>5.6</v>
      </c>
      <c r="E134">
        <v>2.2000000000000002</v>
      </c>
      <c r="F134" t="s">
        <v>9</v>
      </c>
      <c r="G134">
        <v>3</v>
      </c>
      <c r="H134">
        <v>3</v>
      </c>
      <c r="X134">
        <f t="shared" si="14"/>
        <v>0</v>
      </c>
      <c r="Y134">
        <f t="shared" si="14"/>
        <v>0</v>
      </c>
      <c r="Z134">
        <f t="shared" si="14"/>
        <v>6.4</v>
      </c>
    </row>
    <row r="135" spans="1:26" x14ac:dyDescent="0.25">
      <c r="A135">
        <v>134</v>
      </c>
      <c r="B135">
        <v>6.3</v>
      </c>
      <c r="C135">
        <v>2.8</v>
      </c>
      <c r="D135">
        <v>5.0999999999999996</v>
      </c>
      <c r="E135">
        <v>1.5</v>
      </c>
      <c r="F135" t="s">
        <v>9</v>
      </c>
      <c r="G135">
        <v>3</v>
      </c>
      <c r="H135">
        <v>3</v>
      </c>
      <c r="X135">
        <f t="shared" si="14"/>
        <v>0</v>
      </c>
      <c r="Y135">
        <f t="shared" si="14"/>
        <v>0</v>
      </c>
      <c r="Z135">
        <f t="shared" si="14"/>
        <v>6.3</v>
      </c>
    </row>
    <row r="136" spans="1:26" x14ac:dyDescent="0.25">
      <c r="A136">
        <v>135</v>
      </c>
      <c r="B136">
        <v>6.1</v>
      </c>
      <c r="C136">
        <v>2.6</v>
      </c>
      <c r="D136">
        <v>5.6</v>
      </c>
      <c r="E136">
        <v>1.4</v>
      </c>
      <c r="F136" t="s">
        <v>9</v>
      </c>
      <c r="G136">
        <v>3</v>
      </c>
      <c r="H136">
        <v>3</v>
      </c>
      <c r="X136">
        <f t="shared" si="14"/>
        <v>0</v>
      </c>
      <c r="Y136">
        <f t="shared" si="14"/>
        <v>0</v>
      </c>
      <c r="Z136">
        <f t="shared" si="14"/>
        <v>6.1</v>
      </c>
    </row>
    <row r="137" spans="1:26" x14ac:dyDescent="0.25">
      <c r="A137">
        <v>136</v>
      </c>
      <c r="B137">
        <v>7.7</v>
      </c>
      <c r="C137">
        <v>3</v>
      </c>
      <c r="D137">
        <v>6.1</v>
      </c>
      <c r="E137">
        <v>2.2999999999999998</v>
      </c>
      <c r="F137" t="s">
        <v>9</v>
      </c>
      <c r="G137">
        <v>3</v>
      </c>
      <c r="H137">
        <v>3</v>
      </c>
      <c r="X137">
        <f t="shared" si="14"/>
        <v>0</v>
      </c>
      <c r="Y137">
        <f t="shared" si="14"/>
        <v>0</v>
      </c>
      <c r="Z137">
        <f t="shared" si="14"/>
        <v>7.7</v>
      </c>
    </row>
    <row r="138" spans="1:26" x14ac:dyDescent="0.25">
      <c r="A138">
        <v>137</v>
      </c>
      <c r="B138">
        <v>6.3</v>
      </c>
      <c r="C138">
        <v>3.4</v>
      </c>
      <c r="D138">
        <v>5.6</v>
      </c>
      <c r="E138">
        <v>2.4</v>
      </c>
      <c r="F138" t="s">
        <v>9</v>
      </c>
      <c r="G138">
        <v>3</v>
      </c>
      <c r="H138">
        <v>3</v>
      </c>
      <c r="X138">
        <f t="shared" si="14"/>
        <v>0</v>
      </c>
      <c r="Y138">
        <f t="shared" si="14"/>
        <v>0</v>
      </c>
      <c r="Z138">
        <f t="shared" si="14"/>
        <v>6.3</v>
      </c>
    </row>
    <row r="139" spans="1:26" x14ac:dyDescent="0.25">
      <c r="A139">
        <v>138</v>
      </c>
      <c r="B139">
        <v>6.4</v>
      </c>
      <c r="C139">
        <v>3.1</v>
      </c>
      <c r="D139">
        <v>5.5</v>
      </c>
      <c r="E139">
        <v>1.8</v>
      </c>
      <c r="F139" t="s">
        <v>9</v>
      </c>
      <c r="G139">
        <v>3</v>
      </c>
      <c r="H139">
        <v>3</v>
      </c>
      <c r="X139">
        <f t="shared" si="14"/>
        <v>0</v>
      </c>
      <c r="Y139">
        <f t="shared" si="14"/>
        <v>0</v>
      </c>
      <c r="Z139">
        <f t="shared" si="14"/>
        <v>6.4</v>
      </c>
    </row>
    <row r="140" spans="1:26" x14ac:dyDescent="0.25">
      <c r="A140">
        <v>139</v>
      </c>
      <c r="B140">
        <v>6</v>
      </c>
      <c r="C140">
        <v>3</v>
      </c>
      <c r="D140">
        <v>4.8</v>
      </c>
      <c r="E140">
        <v>1.8</v>
      </c>
      <c r="F140" t="s">
        <v>9</v>
      </c>
      <c r="G140">
        <v>3</v>
      </c>
      <c r="H140">
        <v>3</v>
      </c>
      <c r="X140">
        <f t="shared" si="14"/>
        <v>0</v>
      </c>
      <c r="Y140">
        <f t="shared" si="14"/>
        <v>0</v>
      </c>
      <c r="Z140">
        <f t="shared" si="14"/>
        <v>6</v>
      </c>
    </row>
    <row r="141" spans="1:26" x14ac:dyDescent="0.25">
      <c r="A141">
        <v>140</v>
      </c>
      <c r="B141">
        <v>6.9</v>
      </c>
      <c r="C141">
        <v>3.1</v>
      </c>
      <c r="D141">
        <v>5.4</v>
      </c>
      <c r="E141">
        <v>2.1</v>
      </c>
      <c r="F141" t="s">
        <v>9</v>
      </c>
      <c r="G141">
        <v>3</v>
      </c>
      <c r="H141">
        <v>3</v>
      </c>
      <c r="X141">
        <f t="shared" si="14"/>
        <v>0</v>
      </c>
      <c r="Y141">
        <f t="shared" si="14"/>
        <v>0</v>
      </c>
      <c r="Z141">
        <f t="shared" si="14"/>
        <v>6.9</v>
      </c>
    </row>
    <row r="142" spans="1:26" x14ac:dyDescent="0.25">
      <c r="A142">
        <v>141</v>
      </c>
      <c r="B142">
        <v>6.7</v>
      </c>
      <c r="C142">
        <v>3.1</v>
      </c>
      <c r="D142">
        <v>5.6</v>
      </c>
      <c r="E142">
        <v>2.4</v>
      </c>
      <c r="F142" t="s">
        <v>9</v>
      </c>
      <c r="G142">
        <v>3</v>
      </c>
      <c r="H142">
        <v>3</v>
      </c>
      <c r="X142">
        <f t="shared" si="14"/>
        <v>0</v>
      </c>
      <c r="Y142">
        <f t="shared" si="14"/>
        <v>0</v>
      </c>
      <c r="Z142">
        <f t="shared" si="14"/>
        <v>6.7</v>
      </c>
    </row>
    <row r="143" spans="1:26" x14ac:dyDescent="0.25">
      <c r="A143">
        <v>142</v>
      </c>
      <c r="B143">
        <v>6.9</v>
      </c>
      <c r="C143">
        <v>3.1</v>
      </c>
      <c r="D143">
        <v>5.0999999999999996</v>
      </c>
      <c r="E143">
        <v>2.2999999999999998</v>
      </c>
      <c r="F143" t="s">
        <v>9</v>
      </c>
      <c r="G143">
        <v>3</v>
      </c>
      <c r="H143">
        <v>3</v>
      </c>
      <c r="X143">
        <f t="shared" si="14"/>
        <v>0</v>
      </c>
      <c r="Y143">
        <f t="shared" si="14"/>
        <v>0</v>
      </c>
      <c r="Z143">
        <f t="shared" si="14"/>
        <v>6.9</v>
      </c>
    </row>
    <row r="144" spans="1:26" x14ac:dyDescent="0.25">
      <c r="A144">
        <v>143</v>
      </c>
      <c r="B144">
        <v>5.8</v>
      </c>
      <c r="C144">
        <v>2.7</v>
      </c>
      <c r="D144">
        <v>5.0999999999999996</v>
      </c>
      <c r="E144">
        <v>1.9</v>
      </c>
      <c r="F144" t="s">
        <v>9</v>
      </c>
      <c r="G144">
        <v>3</v>
      </c>
      <c r="H144">
        <v>3</v>
      </c>
      <c r="X144">
        <f t="shared" si="14"/>
        <v>0</v>
      </c>
      <c r="Y144">
        <f t="shared" si="14"/>
        <v>0</v>
      </c>
      <c r="Z144">
        <f t="shared" si="14"/>
        <v>5.8</v>
      </c>
    </row>
    <row r="145" spans="1:26" x14ac:dyDescent="0.25">
      <c r="A145">
        <v>144</v>
      </c>
      <c r="B145">
        <v>6.8</v>
      </c>
      <c r="C145">
        <v>3.2</v>
      </c>
      <c r="D145">
        <v>5.9</v>
      </c>
      <c r="E145">
        <v>2.2999999999999998</v>
      </c>
      <c r="F145" t="s">
        <v>9</v>
      </c>
      <c r="G145">
        <v>3</v>
      </c>
      <c r="H145">
        <v>3</v>
      </c>
      <c r="X145">
        <f t="shared" si="14"/>
        <v>0</v>
      </c>
      <c r="Y145">
        <f t="shared" si="14"/>
        <v>0</v>
      </c>
      <c r="Z145">
        <f t="shared" si="14"/>
        <v>6.8</v>
      </c>
    </row>
    <row r="146" spans="1:26" x14ac:dyDescent="0.25">
      <c r="A146">
        <v>145</v>
      </c>
      <c r="B146">
        <v>6.7</v>
      </c>
      <c r="C146">
        <v>3.3</v>
      </c>
      <c r="D146">
        <v>5.7</v>
      </c>
      <c r="E146">
        <v>2.5</v>
      </c>
      <c r="F146" t="s">
        <v>9</v>
      </c>
      <c r="G146">
        <v>3</v>
      </c>
      <c r="H146">
        <v>3</v>
      </c>
      <c r="X146">
        <f t="shared" si="14"/>
        <v>0</v>
      </c>
      <c r="Y146">
        <f t="shared" si="14"/>
        <v>0</v>
      </c>
      <c r="Z146">
        <f t="shared" si="14"/>
        <v>6.7</v>
      </c>
    </row>
    <row r="147" spans="1:26" x14ac:dyDescent="0.25">
      <c r="A147">
        <v>146</v>
      </c>
      <c r="B147">
        <v>6.7</v>
      </c>
      <c r="C147">
        <v>3</v>
      </c>
      <c r="D147">
        <v>5.2</v>
      </c>
      <c r="E147">
        <v>2.2999999999999998</v>
      </c>
      <c r="F147" t="s">
        <v>9</v>
      </c>
      <c r="G147">
        <v>3</v>
      </c>
      <c r="H147">
        <v>3</v>
      </c>
      <c r="X147">
        <f t="shared" si="14"/>
        <v>0</v>
      </c>
      <c r="Y147">
        <f t="shared" si="14"/>
        <v>0</v>
      </c>
      <c r="Z147">
        <f t="shared" si="14"/>
        <v>6.7</v>
      </c>
    </row>
    <row r="148" spans="1:26" x14ac:dyDescent="0.25">
      <c r="A148">
        <v>147</v>
      </c>
      <c r="B148">
        <v>6.3</v>
      </c>
      <c r="C148">
        <v>2.5</v>
      </c>
      <c r="D148">
        <v>5</v>
      </c>
      <c r="E148">
        <v>1.9</v>
      </c>
      <c r="F148" t="s">
        <v>9</v>
      </c>
      <c r="G148">
        <v>3</v>
      </c>
      <c r="H148">
        <v>3</v>
      </c>
      <c r="X148">
        <f t="shared" si="14"/>
        <v>0</v>
      </c>
      <c r="Y148">
        <f t="shared" si="14"/>
        <v>0</v>
      </c>
      <c r="Z148">
        <f t="shared" si="14"/>
        <v>6.3</v>
      </c>
    </row>
    <row r="149" spans="1:26" x14ac:dyDescent="0.25">
      <c r="A149">
        <v>148</v>
      </c>
      <c r="B149">
        <v>6.5</v>
      </c>
      <c r="C149">
        <v>3</v>
      </c>
      <c r="D149">
        <v>5.2</v>
      </c>
      <c r="E149">
        <v>2</v>
      </c>
      <c r="F149" t="s">
        <v>9</v>
      </c>
      <c r="G149">
        <v>3</v>
      </c>
      <c r="H149">
        <v>3</v>
      </c>
      <c r="X149">
        <f t="shared" si="14"/>
        <v>0</v>
      </c>
      <c r="Y149">
        <f t="shared" si="14"/>
        <v>0</v>
      </c>
      <c r="Z149">
        <f t="shared" si="14"/>
        <v>6.5</v>
      </c>
    </row>
    <row r="150" spans="1:26" x14ac:dyDescent="0.25">
      <c r="A150">
        <v>149</v>
      </c>
      <c r="B150">
        <v>6.2</v>
      </c>
      <c r="C150">
        <v>3.4</v>
      </c>
      <c r="D150">
        <v>5.4</v>
      </c>
      <c r="E150">
        <v>2.2999999999999998</v>
      </c>
      <c r="F150" t="s">
        <v>9</v>
      </c>
      <c r="G150">
        <v>3</v>
      </c>
      <c r="H150">
        <v>3</v>
      </c>
      <c r="X150">
        <f t="shared" si="14"/>
        <v>0</v>
      </c>
      <c r="Y150">
        <f t="shared" si="14"/>
        <v>0</v>
      </c>
      <c r="Z150">
        <f t="shared" si="14"/>
        <v>6.2</v>
      </c>
    </row>
    <row r="151" spans="1:26" x14ac:dyDescent="0.25">
      <c r="A151">
        <v>150</v>
      </c>
      <c r="B151">
        <v>5.9</v>
      </c>
      <c r="C151">
        <v>3</v>
      </c>
      <c r="D151">
        <v>5.0999999999999996</v>
      </c>
      <c r="E151">
        <v>1.8</v>
      </c>
      <c r="F151" t="s">
        <v>9</v>
      </c>
      <c r="G151">
        <v>3</v>
      </c>
      <c r="H151">
        <v>3</v>
      </c>
      <c r="X151">
        <f t="shared" si="14"/>
        <v>0</v>
      </c>
      <c r="Y151">
        <f t="shared" si="14"/>
        <v>0</v>
      </c>
      <c r="Z151">
        <f t="shared" si="14"/>
        <v>5.9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Iris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Atlantix</dc:creator>
  <cp:lastModifiedBy>Vivek Bhatt</cp:lastModifiedBy>
  <dcterms:created xsi:type="dcterms:W3CDTF">2024-03-11T11:45:26Z</dcterms:created>
  <dcterms:modified xsi:type="dcterms:W3CDTF">2024-03-11T11:47:08Z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d1f3dcc9-aab8-409c-b097-0d1279fd79c7</vt:lpwstr>
  </property>
</Properties>
</file>